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[$-409]mmm\-yy"/>
    <numFmt numFmtId="165" formatCode="m/d/yyyy\ h:mm"/>
    <numFmt numFmtId="166" formatCode="_(* #,##0.000_);_(* \(#,##0.000\);_(* &quot;-&quot;???_);_(@_)"/>
    <numFmt numFmtId="167" formatCode="0.000"/>
    <numFmt numFmtId="168" formatCode="dd/mm/yyyy&quot; &quot;hh&quot;:&quot;mm"/>
    <numFmt numFmtId="169" formatCode="#,##0.000"/>
    <numFmt numFmtId="170" formatCode="000"/>
    <numFmt numFmtId="171" formatCode="dd&quot;/&quot;mm&quot;/&quot;yyyy&quot; &quot;hh&quot;:&quot;mm"/>
    <numFmt numFmtId="172" formatCode="mm/dd/yyyy\ hh:mm"/>
  </numFmts>
  <fonts count="5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76A5AF"/>
        <bgColor rgb="FF76A5AF"/>
      </patternFill>
    </fill>
    <fill>
      <patternFill patternType="solid">
        <fgColor rgb="FF45818E"/>
        <bgColor rgb="FF45818E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166" fontId="1" fillId="2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167" fontId="1" fillId="3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2" fontId="1" fillId="3" borderId="2" applyAlignment="1" pivotButton="0" quotePrefix="0" xfId="0">
      <alignment horizontal="center" vertical="center" wrapText="1"/>
    </xf>
    <xf numFmtId="17" fontId="3" fillId="4" borderId="3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168" fontId="2" fillId="5" borderId="1" applyAlignment="1" pivotButton="0" quotePrefix="0" xfId="0">
      <alignment horizontal="center" vertical="center"/>
    </xf>
    <xf numFmtId="169" fontId="2" fillId="5" borderId="1" applyAlignment="1" pivotButton="0" quotePrefix="0" xfId="0">
      <alignment horizontal="center" vertical="center"/>
    </xf>
    <xf numFmtId="0" fontId="2" fillId="5" borderId="1" applyAlignment="1" pivotButton="0" quotePrefix="1" xfId="0">
      <alignment horizontal="center" vertical="center"/>
    </xf>
    <xf numFmtId="2" fontId="2" fillId="5" borderId="1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2" fillId="5" borderId="1" applyAlignment="1" pivotButton="0" quotePrefix="0" xfId="0">
      <alignment horizontal="center" vertical="center"/>
    </xf>
    <xf numFmtId="170" fontId="2" fillId="5" borderId="1" applyAlignment="1" pivotButton="0" quotePrefix="0" xfId="0">
      <alignment horizontal="center" vertical="center"/>
    </xf>
    <xf numFmtId="1" fontId="2" fillId="5" borderId="4" applyAlignment="1" pivotButton="0" quotePrefix="0" xfId="0">
      <alignment horizontal="center" vertical="center"/>
    </xf>
    <xf numFmtId="171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71" fontId="2" fillId="5" borderId="1" applyAlignment="1" pivotButton="0" quotePrefix="0" xfId="0">
      <alignment horizontal="center" vertical="center" wrapText="1"/>
    </xf>
    <xf numFmtId="169" fontId="2" fillId="5" borderId="1" applyAlignment="1" pivotButton="0" quotePrefix="0" xfId="0">
      <alignment horizontal="center" vertical="center" wrapText="1"/>
    </xf>
    <xf numFmtId="168" fontId="2" fillId="5" borderId="1" applyAlignment="1" pivotButton="0" quotePrefix="0" xfId="0">
      <alignment horizontal="center" vertical="center" wrapText="1"/>
    </xf>
    <xf numFmtId="167" fontId="2" fillId="5" borderId="1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171" fontId="2" fillId="5" borderId="4" applyAlignment="1" pivotButton="0" quotePrefix="0" xfId="0">
      <alignment horizontal="center" vertical="center"/>
    </xf>
    <xf numFmtId="169" fontId="2" fillId="5" borderId="4" applyAlignment="1" pivotButton="0" quotePrefix="0" xfId="0">
      <alignment horizontal="center" vertical="center"/>
    </xf>
    <xf numFmtId="2" fontId="2" fillId="5" borderId="4" applyAlignment="1" pivotButton="0" quotePrefix="0" xfId="0">
      <alignment horizontal="center" vertical="center"/>
    </xf>
    <xf numFmtId="167" fontId="2" fillId="5" borderId="4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 wrapText="1"/>
    </xf>
    <xf numFmtId="165" fontId="4" fillId="4" borderId="3" applyAlignment="1" pivotButton="0" quotePrefix="0" xfId="0">
      <alignment horizontal="center" vertical="center" wrapText="1"/>
    </xf>
    <xf numFmtId="169" fontId="4" fillId="4" borderId="3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 wrapText="1"/>
    </xf>
    <xf numFmtId="2" fontId="4" fillId="4" borderId="3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165" fontId="4" fillId="4" borderId="6" applyAlignment="1" pivotButton="0" quotePrefix="0" xfId="0">
      <alignment horizontal="center" vertical="center" wrapText="1"/>
    </xf>
    <xf numFmtId="169" fontId="4" fillId="4" borderId="6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5" fontId="4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9" fontId="4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/>
    </xf>
    <xf numFmtId="4" fontId="4" fillId="4" borderId="3" applyAlignment="1" pivotButton="0" quotePrefix="0" xfId="0">
      <alignment horizontal="center" vertical="center" wrapText="1"/>
    </xf>
    <xf numFmtId="17" fontId="3" fillId="4" borderId="7" applyAlignment="1" pivotButton="0" quotePrefix="0" xfId="0">
      <alignment horizontal="center" vertical="center" wrapText="1"/>
    </xf>
    <xf numFmtId="2" fontId="4" fillId="4" borderId="3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 wrapText="1"/>
    </xf>
    <xf numFmtId="172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7" fontId="3" fillId="4" borderId="9" applyAlignment="1" pivotButton="0" quotePrefix="0" xfId="0">
      <alignment horizontal="center" vertical="center" wrapText="1"/>
    </xf>
    <xf numFmtId="0" fontId="4" fillId="6" borderId="8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 wrapText="1"/>
    </xf>
    <xf numFmtId="172" fontId="4" fillId="0" borderId="8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17" fontId="3" fillId="7" borderId="3" applyAlignment="1" pivotButton="0" quotePrefix="0" xfId="0">
      <alignment horizontal="center" vertical="center" wrapText="1"/>
    </xf>
    <xf numFmtId="167" fontId="1" fillId="3" borderId="1" applyAlignment="1" pivotButton="0" quotePrefix="0" xfId="0">
      <alignment horizontal="center" vertical="center" wrapText="1"/>
    </xf>
    <xf numFmtId="168" fontId="2" fillId="5" borderId="1" applyAlignment="1" pivotButton="0" quotePrefix="0" xfId="0">
      <alignment horizontal="center" vertical="center"/>
    </xf>
    <xf numFmtId="169" fontId="2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D1" authorId="0" shapeId="0">
      <text>
        <t>======
ID#AAAAKAkAxOU
    (2020-07-22 07:07:45)
Tug Boat</t>
      </text>
    </comment>
    <comment ref="E1" authorId="0" shapeId="0">
      <text>
        <t>======
ID#AAAAKAkAxP0
    (2020-07-22 07:07:45)
Tongkang</t>
      </text>
    </comment>
    <comment ref="F1" authorId="0" shapeId="0">
      <text>
        <t>======
ID#AAAAKAkAxd4
    (2020-07-22 07:07:45)
mulai bongkar</t>
      </text>
    </comment>
    <comment ref="H1" authorId="0" shapeId="0">
      <text>
        <t>======
ID#AAAAKAkAxJc
    (2020-07-22 07:07:45)
(COW)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tabSelected="1" topLeftCell="C687" workbookViewId="0">
      <selection activeCell="CF1" sqref="I1:CF1048576"/>
    </sheetView>
  </sheetViews>
  <sheetFormatPr baseColWidth="8" defaultRowHeight="15"/>
  <cols>
    <col width="8" bestFit="1" customWidth="1" min="1" max="1"/>
    <col width="8.85546875" bestFit="1" customWidth="1" min="2" max="2"/>
    <col width="23.7109375" bestFit="1" customWidth="1" min="3" max="3"/>
    <col width="23.42578125" bestFit="1" customWidth="1" min="4" max="4"/>
    <col width="24.42578125" bestFit="1" customWidth="1" min="5" max="5"/>
    <col width="15.85546875" bestFit="1" customWidth="1" min="6" max="7"/>
    <col width="10.140625" bestFit="1" customWidth="1" min="8" max="8"/>
    <col width="9" bestFit="1" customWidth="1" min="9" max="11"/>
    <col width="6.5703125" bestFit="1" customWidth="1" min="12" max="12"/>
    <col width="8.140625" bestFit="1" customWidth="1" min="14" max="16"/>
    <col width="7.85546875" bestFit="1" customWidth="1" min="17" max="20"/>
    <col width="6.7109375" bestFit="1" customWidth="1" min="22" max="22"/>
    <col width="7.85546875" bestFit="1" customWidth="1" min="23" max="24"/>
    <col width="8" bestFit="1" customWidth="1" min="25" max="26"/>
    <col width="8.140625" bestFit="1" customWidth="1" min="27" max="31"/>
  </cols>
  <sheetData>
    <row r="1" ht="60" customHeight="1">
      <c r="A1" s="1" t="inlineStr">
        <is>
          <t>Periode</t>
        </is>
      </c>
      <c r="B1" s="2" t="inlineStr">
        <is>
          <t>Shipment</t>
        </is>
      </c>
      <c r="C1" s="2" t="inlineStr">
        <is>
          <t>Suppliers</t>
        </is>
      </c>
      <c r="D1" s="2" t="inlineStr">
        <is>
          <t>TB</t>
        </is>
      </c>
      <c r="E1" s="2" t="inlineStr">
        <is>
          <t>BG</t>
        </is>
      </c>
      <c r="F1" s="3" t="inlineStr">
        <is>
          <t>Commenced Unloading</t>
        </is>
      </c>
      <c r="G1" s="3" t="inlineStr">
        <is>
          <t>Completed Unloading</t>
        </is>
      </c>
      <c r="H1" s="4" t="inlineStr">
        <is>
          <t>DS (MT)</t>
        </is>
      </c>
      <c r="I1" s="5" t="inlineStr">
        <is>
          <t>GCV (Kcal/Kg)
ARB</t>
        </is>
      </c>
      <c r="J1" s="5" t="inlineStr">
        <is>
          <t>GCV (Kcal/Kg)
ADB</t>
        </is>
      </c>
      <c r="K1" s="5" t="inlineStr">
        <is>
          <t>GCV (Kcal/Kg)
DB</t>
        </is>
      </c>
      <c r="L1" s="70" t="inlineStr">
        <is>
          <t>TM (%wt)
ARB</t>
        </is>
      </c>
      <c r="M1" s="70" t="inlineStr">
        <is>
          <t>IM (%wt) 
ADB</t>
        </is>
      </c>
      <c r="N1" s="70" t="inlineStr">
        <is>
          <t>Ash 
Content (%wt) 
ARB</t>
        </is>
      </c>
      <c r="O1" s="70" t="inlineStr">
        <is>
          <t>Ash 
Content (%wt) 
ADB</t>
        </is>
      </c>
      <c r="P1" s="70" t="inlineStr">
        <is>
          <t>Ash 
Content (%wt) 
DB</t>
        </is>
      </c>
      <c r="Q1" s="70" t="inlineStr">
        <is>
          <t>Total Sulphur (%wt)
ARB</t>
        </is>
      </c>
      <c r="R1" s="70" t="inlineStr">
        <is>
          <t>Total Sulphur (%wt)
ADB</t>
        </is>
      </c>
      <c r="S1" s="70" t="inlineStr">
        <is>
          <t>Total Sulphur (%wt)
DB</t>
        </is>
      </c>
      <c r="T1" s="70" t="inlineStr">
        <is>
          <t>Total Sulphur (%wt)
DAFB</t>
        </is>
      </c>
      <c r="U1" s="7" t="inlineStr">
        <is>
          <t>IDT Reducing (C°)</t>
        </is>
      </c>
      <c r="V1" s="7" t="inlineStr">
        <is>
          <t>HGI (Point Index)</t>
        </is>
      </c>
      <c r="W1" s="5" t="inlineStr">
        <is>
          <t>C (%wt)
ARB</t>
        </is>
      </c>
      <c r="X1" s="5" t="inlineStr">
        <is>
          <t>C (%wt)
ADB</t>
        </is>
      </c>
      <c r="Y1" s="5" t="inlineStr">
        <is>
          <t>H (%wt)
ARB</t>
        </is>
      </c>
      <c r="Z1" s="5" t="inlineStr">
        <is>
          <t>H (%wt)
ADB</t>
        </is>
      </c>
      <c r="AA1" s="5" t="inlineStr">
        <is>
          <t>N (%wt)
ARB</t>
        </is>
      </c>
      <c r="AB1" s="5" t="inlineStr">
        <is>
          <t>N (%wt)
ADB</t>
        </is>
      </c>
      <c r="AC1" s="5" t="inlineStr">
        <is>
          <t>N (%wt)
DAFB</t>
        </is>
      </c>
      <c r="AD1" s="5" t="inlineStr">
        <is>
          <t>O (%wt)
ARB</t>
        </is>
      </c>
      <c r="AE1" s="8" t="inlineStr">
        <is>
          <t>O (%wt)
ADB</t>
        </is>
      </c>
    </row>
    <row r="2">
      <c r="A2" s="9">
        <f>EOMONTH(G2,-1)+1</f>
        <v/>
      </c>
      <c r="B2" s="10" t="n">
        <v>555</v>
      </c>
      <c r="C2" s="10" t="inlineStr">
        <is>
          <t>PT DEMO SUPPLIER 1</t>
        </is>
      </c>
      <c r="D2" s="10" t="inlineStr">
        <is>
          <t>MAJU DAYA 81</t>
        </is>
      </c>
      <c r="E2" s="10" t="inlineStr">
        <is>
          <t>MARCOPOLO 278</t>
        </is>
      </c>
      <c r="F2" s="71" t="n">
        <v>44045.41319444445</v>
      </c>
      <c r="G2" s="71" t="n">
        <v>44046.59375</v>
      </c>
      <c r="H2" s="72" t="n">
        <v>5626.021</v>
      </c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</row>
    <row r="3">
      <c r="A3" s="9">
        <f>EOMONTH(G3,-1)+1</f>
        <v/>
      </c>
      <c r="B3" s="10" t="n">
        <v>556</v>
      </c>
      <c r="C3" s="10" t="inlineStr">
        <is>
          <t>PT DEMO SUPPLIER 2</t>
        </is>
      </c>
      <c r="D3" s="10" t="inlineStr">
        <is>
          <t>ADOVELIN</t>
        </is>
      </c>
      <c r="E3" s="10" t="inlineStr">
        <is>
          <t>TIMUR 12</t>
        </is>
      </c>
      <c r="F3" s="71" t="n">
        <v>44046.6875</v>
      </c>
      <c r="G3" s="71" t="n">
        <v>44047.71527777778</v>
      </c>
      <c r="H3" s="72" t="n">
        <v>5040.677</v>
      </c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</row>
    <row r="4">
      <c r="A4" s="9">
        <f>EOMONTH(G4,-1)+1</f>
        <v/>
      </c>
      <c r="B4" s="10" t="n">
        <v>557</v>
      </c>
      <c r="C4" s="10" t="inlineStr">
        <is>
          <t>PT DEMO SUPPLIER 3</t>
        </is>
      </c>
      <c r="D4" s="10" t="inlineStr">
        <is>
          <t>BOJOMA 01</t>
        </is>
      </c>
      <c r="E4" s="10" t="inlineStr">
        <is>
          <t>FLY POWER 2705</t>
        </is>
      </c>
      <c r="F4" s="71" t="n">
        <v>44052.70833333334</v>
      </c>
      <c r="G4" s="71" t="n">
        <v>44055.45833333334</v>
      </c>
      <c r="H4" s="72" t="n">
        <v>5310.946</v>
      </c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</row>
    <row r="5">
      <c r="A5" s="9">
        <f>EOMONTH(G5,-1)+1</f>
        <v/>
      </c>
      <c r="B5" s="10" t="n">
        <v>558</v>
      </c>
      <c r="C5" s="10" t="inlineStr">
        <is>
          <t>PT DEMO SUPPLIER 3</t>
        </is>
      </c>
      <c r="D5" s="10" t="inlineStr">
        <is>
          <t>MOMENTUM 07</t>
        </is>
      </c>
      <c r="E5" s="10" t="inlineStr">
        <is>
          <t>MULTI 2701</t>
        </is>
      </c>
      <c r="F5" s="71" t="n">
        <v>44056.42083333333</v>
      </c>
      <c r="G5" s="71" t="n">
        <v>44057.81944444445</v>
      </c>
      <c r="H5" s="72" t="n">
        <v>5735.277</v>
      </c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</row>
    <row r="6">
      <c r="A6" s="9">
        <f>EOMONTH(G6,-1)+1</f>
        <v/>
      </c>
      <c r="B6" s="10" t="n">
        <v>559</v>
      </c>
      <c r="C6" s="10" t="inlineStr">
        <is>
          <t>PT DEMO SUPPLIER 3</t>
        </is>
      </c>
      <c r="D6" s="10" t="inlineStr">
        <is>
          <t>MERPATI 2701</t>
        </is>
      </c>
      <c r="E6" s="10" t="inlineStr">
        <is>
          <t>RAJAWALI 2701</t>
        </is>
      </c>
      <c r="F6" s="71" t="n">
        <v>44068.50694444445</v>
      </c>
      <c r="G6" s="71" t="n">
        <v>44069.61111111111</v>
      </c>
      <c r="H6" s="72" t="n">
        <v>5073.602</v>
      </c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</row>
    <row r="7">
      <c r="A7" s="9">
        <f>EOMONTH(G7,-1)+1</f>
        <v/>
      </c>
      <c r="B7" s="10" t="n">
        <v>560</v>
      </c>
      <c r="C7" s="10" t="inlineStr">
        <is>
          <t>PT DEMO SUPPLIER 3</t>
        </is>
      </c>
      <c r="D7" s="10" t="inlineStr">
        <is>
          <t>LL MASERATII 03</t>
        </is>
      </c>
      <c r="E7" s="10" t="inlineStr">
        <is>
          <t>LL 2712</t>
        </is>
      </c>
      <c r="F7" s="71" t="n">
        <v>44069.71875</v>
      </c>
      <c r="G7" s="71" t="n">
        <v>44070.9375</v>
      </c>
      <c r="H7" s="72" t="n">
        <v>5525.172</v>
      </c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</row>
    <row r="8">
      <c r="A8" s="9">
        <f>EOMONTH(G8,-1)+1</f>
        <v/>
      </c>
      <c r="B8" s="10" t="n">
        <v>561</v>
      </c>
      <c r="C8" s="10" t="inlineStr">
        <is>
          <t>PT DEMO SUPPLIER 3</t>
        </is>
      </c>
      <c r="D8" s="10" t="inlineStr">
        <is>
          <t>BOJOMA 01</t>
        </is>
      </c>
      <c r="E8" s="10" t="inlineStr">
        <is>
          <t>FLY POWER 2705</t>
        </is>
      </c>
      <c r="F8" s="71" t="n">
        <v>44070.99652777778</v>
      </c>
      <c r="G8" s="71" t="n">
        <v>44072.26041666666</v>
      </c>
      <c r="H8" s="72" t="n">
        <v>5420.154</v>
      </c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</row>
    <row r="9">
      <c r="A9" s="9">
        <f>EOMONTH(G9,-1)+1</f>
        <v/>
      </c>
      <c r="B9" s="10" t="n">
        <v>562</v>
      </c>
      <c r="C9" s="10" t="inlineStr">
        <is>
          <t>PT DEMO SUPPLIER 2</t>
        </is>
      </c>
      <c r="D9" s="10" t="inlineStr">
        <is>
          <t>MEGA DAYA 51</t>
        </is>
      </c>
      <c r="E9" s="10" t="inlineStr">
        <is>
          <t>MARCOPOLO 2528</t>
        </is>
      </c>
      <c r="F9" s="71" t="n">
        <v>44072.34027777778</v>
      </c>
      <c r="G9" s="71" t="n">
        <v>44073.57638888889</v>
      </c>
      <c r="H9" s="72" t="n">
        <v>5288.158</v>
      </c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</row>
    <row r="10">
      <c r="A10" s="9">
        <f>EOMONTH(G10,-1)+1</f>
        <v/>
      </c>
      <c r="B10" s="10" t="n">
        <v>563</v>
      </c>
      <c r="C10" s="10" t="inlineStr">
        <is>
          <t>PT DEMO SUPPLIER 3</t>
        </is>
      </c>
      <c r="D10" s="10" t="inlineStr">
        <is>
          <t>SINAR SEJAHTERA 128</t>
        </is>
      </c>
      <c r="E10" s="10" t="inlineStr">
        <is>
          <t>CAPRICORN 41</t>
        </is>
      </c>
      <c r="F10" s="71" t="n">
        <v>44073.66319444445</v>
      </c>
      <c r="G10" s="71" t="n">
        <v>44074.8125</v>
      </c>
      <c r="H10" s="72" t="n">
        <v>5561.553</v>
      </c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</row>
    <row r="11">
      <c r="A11" s="9">
        <f>EOMONTH(G11,-1)+1</f>
        <v/>
      </c>
      <c r="B11" s="10" t="inlineStr">
        <is>
          <t>Lot 24</t>
        </is>
      </c>
      <c r="C11" s="10" t="inlineStr">
        <is>
          <t>PT DEMO SUPPLIER 4</t>
        </is>
      </c>
      <c r="D11" s="10" t="inlineStr">
        <is>
          <t>DUMP TRUCK</t>
        </is>
      </c>
      <c r="E11" s="10" t="inlineStr">
        <is>
          <t>DUMP TRUCK</t>
        </is>
      </c>
      <c r="F11" s="71" t="n">
        <v>44072</v>
      </c>
      <c r="G11" s="71" t="n">
        <v>44076.66666666666</v>
      </c>
      <c r="H11" s="72" t="n">
        <v>5150.17</v>
      </c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</row>
    <row r="12">
      <c r="A12" s="9">
        <f>EOMONTH(G12,-1)+1</f>
        <v/>
      </c>
      <c r="B12" s="10" t="n">
        <v>564</v>
      </c>
      <c r="C12" s="10" t="inlineStr">
        <is>
          <t>PT DEMO SUPPLIER 3</t>
        </is>
      </c>
      <c r="D12" s="10" t="inlineStr">
        <is>
          <t>TANJUNG BAHARI 19</t>
        </is>
      </c>
      <c r="E12" s="10" t="inlineStr">
        <is>
          <t>BAHARI 2711</t>
        </is>
      </c>
      <c r="F12" s="71" t="n">
        <v>44077.11805555555</v>
      </c>
      <c r="G12" s="71" t="n">
        <v>44078.52777777778</v>
      </c>
      <c r="H12" s="72" t="n">
        <v>5833.369</v>
      </c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</row>
    <row r="13">
      <c r="A13" s="9">
        <f>EOMONTH(G13,-1)+1</f>
        <v/>
      </c>
      <c r="B13" s="10" t="n">
        <v>565</v>
      </c>
      <c r="C13" s="10" t="inlineStr">
        <is>
          <t>PT DEMO SUPPLIER 2</t>
        </is>
      </c>
      <c r="D13" s="10" t="inlineStr">
        <is>
          <t>CAPRICORN 42</t>
        </is>
      </c>
      <c r="E13" s="10" t="inlineStr">
        <is>
          <t>CAPRICORN 43</t>
        </is>
      </c>
      <c r="F13" s="71" t="n">
        <v>44079.53472222222</v>
      </c>
      <c r="G13" s="71" t="n">
        <v>44080.61111111111</v>
      </c>
      <c r="H13" s="72" t="n">
        <v>5250.445</v>
      </c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</row>
    <row r="14">
      <c r="A14" s="9">
        <f>EOMONTH(G14,-1)+1</f>
        <v/>
      </c>
      <c r="B14" s="10" t="n">
        <v>566</v>
      </c>
      <c r="C14" s="10" t="inlineStr">
        <is>
          <t>PT DEMO SUPPLIER 2</t>
        </is>
      </c>
      <c r="D14" s="10" t="inlineStr">
        <is>
          <t>CILIANDRA</t>
        </is>
      </c>
      <c r="E14" s="10" t="inlineStr">
        <is>
          <t>TANJUNG GEMILANG 250</t>
        </is>
      </c>
      <c r="F14" s="71" t="n">
        <v>44082.61458333334</v>
      </c>
      <c r="G14" s="71" t="n">
        <v>44083.64583333334</v>
      </c>
      <c r="H14" s="72" t="n">
        <v>5429.326</v>
      </c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</row>
    <row r="15">
      <c r="A15" s="9">
        <f>EOMONTH(G15,-1)+1</f>
        <v/>
      </c>
      <c r="B15" s="10" t="n">
        <v>567</v>
      </c>
      <c r="C15" s="10" t="inlineStr">
        <is>
          <t>PT DEMO SUPPLIER 3</t>
        </is>
      </c>
      <c r="D15" s="10" t="inlineStr">
        <is>
          <t>BOJOMA 01</t>
        </is>
      </c>
      <c r="E15" s="10" t="inlineStr">
        <is>
          <t>FLY POWER 2705</t>
        </is>
      </c>
      <c r="F15" s="71" t="n">
        <v>44083.71875</v>
      </c>
      <c r="G15" s="71" t="n">
        <v>44084.90625</v>
      </c>
      <c r="H15" s="72" t="n">
        <v>5448.062</v>
      </c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</row>
    <row r="16">
      <c r="A16" s="9">
        <f>EOMONTH(G16,-1)+1</f>
        <v/>
      </c>
      <c r="B16" s="10" t="n">
        <v>568</v>
      </c>
      <c r="C16" s="10" t="inlineStr">
        <is>
          <t>PT DEMO SUPPLIER 5</t>
        </is>
      </c>
      <c r="D16" s="10" t="inlineStr">
        <is>
          <t>SINAR SEJAHTERA 128</t>
        </is>
      </c>
      <c r="E16" s="10" t="inlineStr">
        <is>
          <t>CAPRICORN 41</t>
        </is>
      </c>
      <c r="F16" s="71" t="n">
        <v>44087.75347222222</v>
      </c>
      <c r="G16" s="71" t="n">
        <v>44088.91666666666</v>
      </c>
      <c r="H16" s="72" t="n">
        <v>5461.143</v>
      </c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</row>
    <row r="17">
      <c r="A17" s="9">
        <f>EOMONTH(G17,-1)+1</f>
        <v/>
      </c>
      <c r="B17" s="10" t="inlineStr">
        <is>
          <t>Lot 25</t>
        </is>
      </c>
      <c r="C17" s="10" t="inlineStr">
        <is>
          <t>PT DEMO SUPPLIER 4</t>
        </is>
      </c>
      <c r="D17" s="10" t="inlineStr">
        <is>
          <t>DUMP TRUCK</t>
        </is>
      </c>
      <c r="E17" s="10" t="inlineStr">
        <is>
          <t>DUMP TRUCK</t>
        </is>
      </c>
      <c r="F17" s="71" t="n">
        <v>44086.43680555555</v>
      </c>
      <c r="G17" s="71" t="n">
        <v>44090.59583333333</v>
      </c>
      <c r="H17" s="72" t="n">
        <v>5299.48</v>
      </c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</row>
    <row r="18">
      <c r="A18" s="9">
        <f>EOMONTH(G18,-1)+1</f>
        <v/>
      </c>
      <c r="B18" s="10" t="n">
        <v>569</v>
      </c>
      <c r="C18" s="10" t="inlineStr">
        <is>
          <t>PT DEMO SUPPLIER 3</t>
        </is>
      </c>
      <c r="D18" s="10" t="inlineStr">
        <is>
          <t>TANJUNG BAHARI 19</t>
        </is>
      </c>
      <c r="E18" s="10" t="inlineStr">
        <is>
          <t>BAHARI 2711</t>
        </is>
      </c>
      <c r="F18" s="71" t="n">
        <v>44091.98263888889</v>
      </c>
      <c r="G18" s="71" t="n">
        <v>44093.33333333334</v>
      </c>
      <c r="H18" s="72" t="n">
        <v>5831.185</v>
      </c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</row>
    <row r="19">
      <c r="A19" s="9">
        <f>EOMONTH(G19,-1)+1</f>
        <v/>
      </c>
      <c r="B19" s="10" t="n">
        <v>570</v>
      </c>
      <c r="C19" s="10" t="inlineStr">
        <is>
          <t>PT DEMO SUPPLIER 5</t>
        </is>
      </c>
      <c r="D19" s="10" t="inlineStr">
        <is>
          <t>CAPRICORN 42</t>
        </is>
      </c>
      <c r="E19" s="10" t="inlineStr">
        <is>
          <t>CAPRICORN 43</t>
        </is>
      </c>
      <c r="F19" s="71" t="n">
        <v>44093.45138888889</v>
      </c>
      <c r="G19" s="71" t="n">
        <v>44094.44791666666</v>
      </c>
      <c r="H19" s="72" t="n">
        <v>5327.375</v>
      </c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</row>
    <row r="20">
      <c r="A20" s="9">
        <f>EOMONTH(G20,-1)+1</f>
        <v/>
      </c>
      <c r="B20" s="10" t="n">
        <v>571</v>
      </c>
      <c r="C20" s="10" t="inlineStr">
        <is>
          <t>PT DEMO SUPPLIER 5</t>
        </is>
      </c>
      <c r="D20" s="10" t="inlineStr">
        <is>
          <t>LL LOTTUS</t>
        </is>
      </c>
      <c r="E20" s="10" t="inlineStr">
        <is>
          <t>LL 2518</t>
        </is>
      </c>
      <c r="F20" s="71" t="n">
        <v>44094.98263888889</v>
      </c>
      <c r="G20" s="71" t="n">
        <v>44095.77430555555</v>
      </c>
      <c r="H20" s="72" t="n">
        <v>4079.918</v>
      </c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</row>
    <row r="21">
      <c r="A21" s="9">
        <f>EOMONTH(G21,-1)+1</f>
        <v/>
      </c>
      <c r="B21" s="10" t="n">
        <v>572</v>
      </c>
      <c r="C21" s="10" t="inlineStr">
        <is>
          <t>PT DEMO SUPPLIER 5</t>
        </is>
      </c>
      <c r="D21" s="10" t="inlineStr">
        <is>
          <t>LL LEXXUS 03</t>
        </is>
      </c>
      <c r="E21" s="10" t="inlineStr">
        <is>
          <t>SARAH 01</t>
        </is>
      </c>
      <c r="F21" s="71" t="n">
        <v>44097.64930555555</v>
      </c>
      <c r="G21" s="71" t="n">
        <v>44098.74305555555</v>
      </c>
      <c r="H21" s="72" t="n">
        <v>5462.792</v>
      </c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</row>
    <row r="22">
      <c r="A22" s="9">
        <f>EOMONTH(G22,-1)+1</f>
        <v/>
      </c>
      <c r="B22" s="10" t="n">
        <v>573</v>
      </c>
      <c r="C22" s="10" t="inlineStr">
        <is>
          <t>PT DEMO SUPPLIER 6</t>
        </is>
      </c>
      <c r="D22" s="10" t="inlineStr">
        <is>
          <t>MAJU DAYA 71</t>
        </is>
      </c>
      <c r="E22" s="10" t="inlineStr">
        <is>
          <t>MARCOPOLO 278</t>
        </is>
      </c>
      <c r="F22" s="71" t="n">
        <v>44098.88888888889</v>
      </c>
      <c r="G22" s="71" t="n">
        <v>44100.35416666666</v>
      </c>
      <c r="H22" s="72" t="n">
        <v>5601.292</v>
      </c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</row>
    <row r="23">
      <c r="A23" s="9">
        <f>EOMONTH(G23,-1)+1</f>
        <v/>
      </c>
      <c r="B23" s="10" t="n">
        <v>574</v>
      </c>
      <c r="C23" s="10" t="inlineStr">
        <is>
          <t>PT DEMO SUPPLIER 5</t>
        </is>
      </c>
      <c r="D23" s="10" t="inlineStr">
        <is>
          <t>LL EAGLE 02</t>
        </is>
      </c>
      <c r="E23" s="10" t="inlineStr">
        <is>
          <t>LL 2717</t>
        </is>
      </c>
      <c r="F23" s="71" t="n">
        <v>44100.44097222222</v>
      </c>
      <c r="G23" s="71" t="n">
        <v>44101.79861111111</v>
      </c>
      <c r="H23" s="72" t="n">
        <v>5454.166</v>
      </c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</row>
    <row r="24">
      <c r="A24" s="9">
        <f>EOMONTH(G24,-1)+1</f>
        <v/>
      </c>
      <c r="B24" s="10" t="n">
        <v>575</v>
      </c>
      <c r="C24" s="10" t="inlineStr">
        <is>
          <t>PT DEMO SUPPLIER 7</t>
        </is>
      </c>
      <c r="D24" s="10" t="inlineStr">
        <is>
          <t>CILIANDRA</t>
        </is>
      </c>
      <c r="E24" s="10" t="inlineStr">
        <is>
          <t>TANJUNG GEMILANG 250</t>
        </is>
      </c>
      <c r="F24" s="71" t="n">
        <v>44099.38888888889</v>
      </c>
      <c r="G24" s="71" t="n">
        <v>44102.08333333334</v>
      </c>
      <c r="H24" s="72" t="n">
        <v>5649.804</v>
      </c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</row>
    <row r="25">
      <c r="A25" s="9">
        <f>EOMONTH(G25,-1)+1</f>
        <v/>
      </c>
      <c r="B25" s="10" t="n">
        <v>576</v>
      </c>
      <c r="C25" s="10" t="inlineStr">
        <is>
          <t>PT DEMO SUPPLIER 8</t>
        </is>
      </c>
      <c r="D25" s="10" t="inlineStr">
        <is>
          <t>MEGA DAYA 21</t>
        </is>
      </c>
      <c r="E25" s="10" t="inlineStr">
        <is>
          <t>MARCOPOLO 2528</t>
        </is>
      </c>
      <c r="F25" s="71" t="n">
        <v>44101.90625</v>
      </c>
      <c r="G25" s="71" t="n">
        <v>44103.22569444445</v>
      </c>
      <c r="H25" s="72" t="n">
        <v>5304.078</v>
      </c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</row>
    <row r="26">
      <c r="A26" s="9">
        <f>EOMONTH(G26,-1)+1</f>
        <v/>
      </c>
      <c r="B26" s="10" t="n">
        <v>577</v>
      </c>
      <c r="C26" s="10" t="inlineStr">
        <is>
          <t>PT DEMO SUPPLIER 3</t>
        </is>
      </c>
      <c r="D26" s="10" t="inlineStr">
        <is>
          <t>TANJUNG BAHARI 17</t>
        </is>
      </c>
      <c r="E26" s="10" t="inlineStr">
        <is>
          <t>BAHARI 2589</t>
        </is>
      </c>
      <c r="F26" s="71" t="n">
        <v>44102.40625</v>
      </c>
      <c r="G26" s="71" t="n">
        <v>44104.17361111111</v>
      </c>
      <c r="H26" s="72" t="n">
        <v>5092.094</v>
      </c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</row>
    <row r="27">
      <c r="A27" s="9">
        <f>EOMONTH(G27,-1)+1</f>
        <v/>
      </c>
      <c r="B27" s="10" t="inlineStr">
        <is>
          <t>Lot 26</t>
        </is>
      </c>
      <c r="C27" s="10" t="inlineStr">
        <is>
          <t>PT DEMO SUPPLIER 4</t>
        </is>
      </c>
      <c r="D27" s="10" t="inlineStr">
        <is>
          <t>DUMP TRUCK</t>
        </is>
      </c>
      <c r="E27" s="10" t="inlineStr">
        <is>
          <t>DUMP TRUCK</t>
        </is>
      </c>
      <c r="F27" s="71" t="n">
        <v>44092.45138888889</v>
      </c>
      <c r="G27" s="71" t="n">
        <v>44103.71597222222</v>
      </c>
      <c r="H27" s="72" t="n">
        <v>5093.33</v>
      </c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</row>
    <row r="28">
      <c r="A28" s="9">
        <f>EOMONTH(G28,-1)+1</f>
        <v/>
      </c>
      <c r="B28" s="10" t="n">
        <v>578</v>
      </c>
      <c r="C28" s="10" t="inlineStr">
        <is>
          <t>PT DEMO SUPPLIER 5</t>
        </is>
      </c>
      <c r="D28" s="10" t="inlineStr">
        <is>
          <t>SINAR SEJAHTERA 128</t>
        </is>
      </c>
      <c r="E28" s="10" t="inlineStr">
        <is>
          <t>CAPRICORN 41</t>
        </is>
      </c>
      <c r="F28" s="71" t="n">
        <v>44103.30902777778</v>
      </c>
      <c r="G28" s="71" t="n">
        <v>44104.82638888889</v>
      </c>
      <c r="H28" s="72" t="n">
        <v>5414.803</v>
      </c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</row>
    <row r="29">
      <c r="A29" s="9">
        <f>EOMONTH(G29,-1)+1</f>
        <v/>
      </c>
      <c r="B29" s="10" t="n">
        <v>579</v>
      </c>
      <c r="C29" s="10" t="inlineStr">
        <is>
          <t>PT DEMO SUPPLIER 5</t>
        </is>
      </c>
      <c r="D29" s="10" t="inlineStr">
        <is>
          <t>LL MASERATII 03</t>
        </is>
      </c>
      <c r="E29" s="10" t="inlineStr">
        <is>
          <t>LL 2712</t>
        </is>
      </c>
      <c r="F29" s="71" t="n">
        <v>44104.70833333334</v>
      </c>
      <c r="G29" s="71" t="n">
        <v>44107.47222222222</v>
      </c>
      <c r="H29" s="72" t="n">
        <v>5400.779</v>
      </c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</row>
    <row r="30">
      <c r="A30" s="9">
        <f>EOMONTH(G30,-1)+1</f>
        <v/>
      </c>
      <c r="B30" s="10" t="n">
        <v>580</v>
      </c>
      <c r="C30" s="10" t="inlineStr">
        <is>
          <t>PT DEMO SUPPLIER 5</t>
        </is>
      </c>
      <c r="D30" s="10" t="inlineStr">
        <is>
          <t>SOL 1008</t>
        </is>
      </c>
      <c r="E30" s="10" t="inlineStr">
        <is>
          <t>CAPRICORN 39</t>
        </is>
      </c>
      <c r="F30" s="71" t="n">
        <v>44104.89930555555</v>
      </c>
      <c r="G30" s="71" t="n">
        <v>44106.09375</v>
      </c>
      <c r="H30" s="72" t="n">
        <v>5421.937</v>
      </c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</row>
    <row r="31">
      <c r="A31" s="9">
        <f>EOMONTH(G31,-1)+1</f>
        <v/>
      </c>
      <c r="B31" s="10" t="n">
        <v>581</v>
      </c>
      <c r="C31" s="10" t="inlineStr">
        <is>
          <t>PT DEMO SUPPLIER 5</t>
        </is>
      </c>
      <c r="D31" s="10" t="inlineStr">
        <is>
          <t>CAPRICORN 42</t>
        </is>
      </c>
      <c r="E31" s="10" t="inlineStr">
        <is>
          <t>CAPRICORN 43</t>
        </is>
      </c>
      <c r="F31" s="71" t="n">
        <v>44106.17361111111</v>
      </c>
      <c r="G31" s="71" t="n">
        <v>44107.64583333334</v>
      </c>
      <c r="H31" s="72" t="n">
        <v>5408.553</v>
      </c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</row>
    <row r="32">
      <c r="A32" s="9">
        <f>EOMONTH(G32,-1)+1</f>
        <v/>
      </c>
      <c r="B32" s="10" t="n">
        <v>582</v>
      </c>
      <c r="C32" s="10" t="inlineStr">
        <is>
          <t>PT DEMO SUPPLIER 8</t>
        </is>
      </c>
      <c r="D32" s="10" t="inlineStr">
        <is>
          <t>MEGA DAYA 11</t>
        </is>
      </c>
      <c r="E32" s="10" t="inlineStr">
        <is>
          <t>NAP 2701</t>
        </is>
      </c>
      <c r="F32" s="71" t="n">
        <v>44107.74652777778</v>
      </c>
      <c r="G32" s="71" t="n">
        <v>44109.46180555555</v>
      </c>
      <c r="H32" s="72" t="n">
        <v>4944.969</v>
      </c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</row>
    <row r="33">
      <c r="A33" s="9">
        <f>EOMONTH(G33,-1)+1</f>
        <v/>
      </c>
      <c r="B33" s="10" t="n">
        <v>583</v>
      </c>
      <c r="C33" s="10" t="inlineStr">
        <is>
          <t>PT DEMO SUPPLIER 3</t>
        </is>
      </c>
      <c r="D33" s="10" t="inlineStr">
        <is>
          <t>TANJUNG BAHARI 19</t>
        </is>
      </c>
      <c r="E33" s="10" t="inlineStr">
        <is>
          <t>BAHARI 2711</t>
        </is>
      </c>
      <c r="F33" s="71" t="n">
        <v>44109.53472222222</v>
      </c>
      <c r="G33" s="71" t="n">
        <v>44110.88194444445</v>
      </c>
      <c r="H33" s="72" t="n">
        <v>5893.191</v>
      </c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</row>
    <row r="34">
      <c r="A34" s="9">
        <f>EOMONTH(G34,-1)+1</f>
        <v/>
      </c>
      <c r="B34" s="10" t="n">
        <v>584</v>
      </c>
      <c r="C34" s="10" t="inlineStr">
        <is>
          <t>PT DEMO SUPPLIER 1</t>
        </is>
      </c>
      <c r="D34" s="10" t="inlineStr">
        <is>
          <t>LL LOTTUS 02</t>
        </is>
      </c>
      <c r="E34" s="10" t="inlineStr">
        <is>
          <t>CAPRICORN 71</t>
        </is>
      </c>
      <c r="F34" s="71" t="n">
        <v>44110.96180555555</v>
      </c>
      <c r="G34" s="71" t="n">
        <v>44112.03819444445</v>
      </c>
      <c r="H34" s="72" t="n">
        <v>5478.203</v>
      </c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</row>
    <row r="35">
      <c r="A35" s="9">
        <f>EOMONTH(G35,-1)+1</f>
        <v/>
      </c>
      <c r="B35" s="10" t="n">
        <v>585</v>
      </c>
      <c r="C35" s="10" t="inlineStr">
        <is>
          <t>PT DEMO SUPPLIER 5</t>
        </is>
      </c>
      <c r="D35" s="10" t="inlineStr">
        <is>
          <t>LL MACAN TUTUL 02</t>
        </is>
      </c>
      <c r="E35" s="10" t="inlineStr">
        <is>
          <t>SUMBER CIPTA III</t>
        </is>
      </c>
      <c r="F35" s="71" t="n">
        <v>44112.13194444445</v>
      </c>
      <c r="G35" s="71" t="n">
        <v>44113.54861111111</v>
      </c>
      <c r="H35" s="72" t="n">
        <v>6057.614</v>
      </c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</row>
    <row r="36">
      <c r="A36" s="9">
        <f>EOMONTH(G36,-1)+1</f>
        <v/>
      </c>
      <c r="B36" s="10" t="inlineStr">
        <is>
          <t>Lot 28</t>
        </is>
      </c>
      <c r="C36" s="10" t="inlineStr">
        <is>
          <t>PT DEMO SUPPLIER 7</t>
        </is>
      </c>
      <c r="D36" s="10" t="inlineStr">
        <is>
          <t>DUMP TRUCK</t>
        </is>
      </c>
      <c r="E36" s="10" t="inlineStr">
        <is>
          <t>DUMP TRUCK</t>
        </is>
      </c>
      <c r="F36" s="71" t="n">
        <v>44105.61597222222</v>
      </c>
      <c r="G36" s="71" t="n">
        <v>44114.48611111111</v>
      </c>
      <c r="H36" s="72" t="n">
        <v>5065.23</v>
      </c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</row>
    <row r="37">
      <c r="A37" s="9">
        <f>EOMONTH(G37,-1)+1</f>
        <v/>
      </c>
      <c r="B37" s="10" t="inlineStr">
        <is>
          <t>Lot 27</t>
        </is>
      </c>
      <c r="C37" s="10" t="inlineStr">
        <is>
          <t>PT DEMO SUPPLIER 4</t>
        </is>
      </c>
      <c r="D37" s="10" t="inlineStr">
        <is>
          <t>DUMP TRUCK</t>
        </is>
      </c>
      <c r="E37" s="10" t="inlineStr">
        <is>
          <t>DUMP TRUCK</t>
        </is>
      </c>
      <c r="F37" s="71" t="n">
        <v>44104.58541666667</v>
      </c>
      <c r="G37" s="71" t="n">
        <v>44114.72847222222</v>
      </c>
      <c r="H37" s="72" t="n">
        <v>5055.3</v>
      </c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</row>
    <row r="38">
      <c r="A38" s="9">
        <f>EOMONTH(G38,-1)+1</f>
        <v/>
      </c>
      <c r="B38" s="10" t="n">
        <v>586</v>
      </c>
      <c r="C38" s="10" t="inlineStr">
        <is>
          <t>PT DEMO SUPPLIER 7</t>
        </is>
      </c>
      <c r="D38" s="10" t="inlineStr">
        <is>
          <t>KSD 17</t>
        </is>
      </c>
      <c r="E38" s="10" t="inlineStr">
        <is>
          <t>KSD 38</t>
        </is>
      </c>
      <c r="F38" s="71" t="n">
        <v>44113.63541666666</v>
      </c>
      <c r="G38" s="71" t="n">
        <v>44115.34027777778</v>
      </c>
      <c r="H38" s="72" t="n">
        <v>5599.423</v>
      </c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</row>
    <row r="39">
      <c r="A39" s="9">
        <f>EOMONTH(G39,-1)+1</f>
        <v/>
      </c>
      <c r="B39" s="10" t="n">
        <v>587</v>
      </c>
      <c r="C39" s="10" t="inlineStr">
        <is>
          <t>PT DEMO SUPPLIER 5</t>
        </is>
      </c>
      <c r="D39" s="10" t="inlineStr">
        <is>
          <t>LL MULIA</t>
        </is>
      </c>
      <c r="E39" s="10" t="inlineStr">
        <is>
          <t>LL 2714</t>
        </is>
      </c>
      <c r="F39" s="71" t="n">
        <v>44115.45833333334</v>
      </c>
      <c r="G39" s="71" t="n">
        <v>44116.77777777778</v>
      </c>
      <c r="H39" s="72" t="n">
        <v>5350.05</v>
      </c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</row>
    <row r="40">
      <c r="A40" s="9">
        <f>EOMONTH(G40,-1)+1</f>
        <v/>
      </c>
      <c r="B40" s="10" t="n">
        <v>588</v>
      </c>
      <c r="C40" s="10" t="inlineStr">
        <is>
          <t>PT DEMO SUPPLIER 5</t>
        </is>
      </c>
      <c r="D40" s="10" t="inlineStr">
        <is>
          <t>LL LEXXUS 03</t>
        </is>
      </c>
      <c r="E40" s="10" t="inlineStr">
        <is>
          <t>LL 2518</t>
        </is>
      </c>
      <c r="F40" s="71" t="n">
        <v>44116.84375</v>
      </c>
      <c r="G40" s="71" t="n">
        <v>44117.77777777778</v>
      </c>
      <c r="H40" s="72" t="n">
        <v>4014.714</v>
      </c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</row>
    <row r="41">
      <c r="A41" s="9">
        <f>EOMONTH(G41,-1)+1</f>
        <v/>
      </c>
      <c r="B41" s="10" t="inlineStr">
        <is>
          <t>Lot 29</t>
        </is>
      </c>
      <c r="C41" s="10" t="inlineStr">
        <is>
          <t>PT DEMO SUPPLIER 7</t>
        </is>
      </c>
      <c r="D41" s="10" t="inlineStr">
        <is>
          <t>DUMP TRUCK</t>
        </is>
      </c>
      <c r="E41" s="10" t="inlineStr">
        <is>
          <t>DUMP TRUCK</t>
        </is>
      </c>
      <c r="F41" s="71" t="n">
        <v>44114.47986111111</v>
      </c>
      <c r="G41" s="71" t="n">
        <v>44119.525</v>
      </c>
      <c r="H41" s="72" t="n">
        <v>5049.86</v>
      </c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</row>
    <row r="42">
      <c r="A42" s="9">
        <f>EOMONTH(G42,-1)+1</f>
        <v/>
      </c>
      <c r="B42" s="10" t="n">
        <v>589</v>
      </c>
      <c r="C42" s="10" t="inlineStr">
        <is>
          <t>PT DEMO SUPPLIER 5</t>
        </is>
      </c>
      <c r="D42" s="10" t="inlineStr">
        <is>
          <t>LL MASERATII 03</t>
        </is>
      </c>
      <c r="E42" s="10" t="inlineStr">
        <is>
          <t>LL 2712</t>
        </is>
      </c>
      <c r="F42" s="71" t="n">
        <v>44120.07638888889</v>
      </c>
      <c r="G42" s="71" t="n">
        <v>44121.52430555555</v>
      </c>
      <c r="H42" s="72" t="n">
        <v>5466.746</v>
      </c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</row>
    <row r="43">
      <c r="A43" s="9">
        <f>EOMONTH(G43,-1)+1</f>
        <v/>
      </c>
      <c r="B43" s="10" t="inlineStr">
        <is>
          <t>Lot 30</t>
        </is>
      </c>
      <c r="C43" s="10" t="inlineStr">
        <is>
          <t>PT DEMO SUPPLIER 4</t>
        </is>
      </c>
      <c r="D43" s="10" t="inlineStr">
        <is>
          <t>DUMP TRUCK</t>
        </is>
      </c>
      <c r="E43" s="10" t="inlineStr">
        <is>
          <t>DUMP TRUCK</t>
        </is>
      </c>
      <c r="F43" s="71" t="n">
        <v>44115.42638888889</v>
      </c>
      <c r="G43" s="71" t="n">
        <v>44121.76388888889</v>
      </c>
      <c r="H43" s="72" t="n">
        <v>5018.11</v>
      </c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</row>
    <row r="44">
      <c r="A44" s="9">
        <f>EOMONTH(G44,-1)+1</f>
        <v/>
      </c>
      <c r="B44" s="10" t="inlineStr">
        <is>
          <t>Lot 31</t>
        </is>
      </c>
      <c r="C44" s="10" t="inlineStr">
        <is>
          <t>PT DEMO SUPPLIER 7</t>
        </is>
      </c>
      <c r="D44" s="10" t="inlineStr">
        <is>
          <t>DUMP TRUCK</t>
        </is>
      </c>
      <c r="E44" s="10" t="inlineStr">
        <is>
          <t>DUMP TRUCK</t>
        </is>
      </c>
      <c r="F44" s="71" t="n">
        <v>44119.62986111111</v>
      </c>
      <c r="G44" s="71" t="n">
        <v>44122.71875</v>
      </c>
      <c r="H44" s="72" t="n">
        <v>5502.34</v>
      </c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</row>
    <row r="45">
      <c r="A45" s="9">
        <f>EOMONTH(G45,-1)+1</f>
        <v/>
      </c>
      <c r="B45" s="10" t="n">
        <v>590</v>
      </c>
      <c r="C45" s="10" t="inlineStr">
        <is>
          <t>PT DEMO SUPPLIER 3</t>
        </is>
      </c>
      <c r="D45" s="10" t="inlineStr">
        <is>
          <t>MERPATI 2701</t>
        </is>
      </c>
      <c r="E45" s="10" t="inlineStr">
        <is>
          <t>RAJAWALI 2701</t>
        </is>
      </c>
      <c r="F45" s="71" t="n">
        <v>44121.59722222222</v>
      </c>
      <c r="G45" s="71" t="n">
        <v>44122.81944444445</v>
      </c>
      <c r="H45" s="72" t="n">
        <v>5054.25</v>
      </c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</row>
    <row r="46">
      <c r="A46" s="9">
        <f>EOMONTH(G46,-1)+1</f>
        <v/>
      </c>
      <c r="B46" s="10" t="n">
        <v>591</v>
      </c>
      <c r="C46" s="10" t="inlineStr">
        <is>
          <t>PT DEMO SUPPLIER 7</t>
        </is>
      </c>
      <c r="D46" s="10" t="inlineStr">
        <is>
          <t>MEGA DAYA 27</t>
        </is>
      </c>
      <c r="E46" s="10" t="inlineStr">
        <is>
          <t>MARCOPOLO 2528</t>
        </is>
      </c>
      <c r="F46" s="71" t="n">
        <v>44122.89583333334</v>
      </c>
      <c r="G46" s="71" t="n">
        <v>44124.72222222222</v>
      </c>
      <c r="H46" s="72" t="n">
        <v>5548.12</v>
      </c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</row>
    <row r="47">
      <c r="A47" s="9">
        <f>EOMONTH(G47,-1)+1</f>
        <v/>
      </c>
      <c r="B47" s="10" t="n">
        <v>592</v>
      </c>
      <c r="C47" s="10" t="inlineStr">
        <is>
          <t>PT DEMO SUPPLIER 5</t>
        </is>
      </c>
      <c r="D47" s="10" t="inlineStr">
        <is>
          <t>LL PRIMA</t>
        </is>
      </c>
      <c r="E47" s="10" t="inlineStr">
        <is>
          <t>LL 2711</t>
        </is>
      </c>
      <c r="F47" s="71" t="n">
        <v>44124.80208333334</v>
      </c>
      <c r="G47" s="71" t="n">
        <v>44126.09027777778</v>
      </c>
      <c r="H47" s="72" t="n">
        <v>5443.803</v>
      </c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</row>
    <row r="48">
      <c r="A48" s="9">
        <f>EOMONTH(G48,-1)+1</f>
        <v/>
      </c>
      <c r="B48" s="10" t="inlineStr">
        <is>
          <t>Lot 32</t>
        </is>
      </c>
      <c r="C48" s="10" t="inlineStr">
        <is>
          <t>PT DEMO SUPPLIER 4</t>
        </is>
      </c>
      <c r="D48" s="10" t="inlineStr">
        <is>
          <t>DUMP TRUCK</t>
        </is>
      </c>
      <c r="E48" s="10" t="inlineStr">
        <is>
          <t>DUMP TRUCK</t>
        </is>
      </c>
      <c r="F48" s="71" t="n">
        <v>44121.73263888889</v>
      </c>
      <c r="G48" s="71" t="n">
        <v>44126.50902777778</v>
      </c>
      <c r="H48" s="72" t="n">
        <v>5012.47</v>
      </c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</row>
    <row r="49">
      <c r="A49" s="9">
        <f>EOMONTH(G49,-1)+1</f>
        <v/>
      </c>
      <c r="B49" s="10" t="n">
        <v>593</v>
      </c>
      <c r="C49" s="10" t="inlineStr">
        <is>
          <t>PT DEMO SUPPLIER 6</t>
        </is>
      </c>
      <c r="D49" s="10" t="inlineStr">
        <is>
          <t>MEGA DAYA 33</t>
        </is>
      </c>
      <c r="E49" s="10" t="inlineStr">
        <is>
          <t>MARCOPOLO 278</t>
        </is>
      </c>
      <c r="F49" s="71" t="n">
        <v>44126.21527777778</v>
      </c>
      <c r="G49" s="71" t="n">
        <v>44127.62847222222</v>
      </c>
      <c r="H49" s="72" t="n">
        <v>5294.507</v>
      </c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</row>
    <row r="50">
      <c r="A50" s="9">
        <f>EOMONTH(G50,-1)+1</f>
        <v/>
      </c>
      <c r="B50" s="10" t="n">
        <v>594</v>
      </c>
      <c r="C50" s="10" t="inlineStr">
        <is>
          <t>PT DEMO SUPPLIER 3</t>
        </is>
      </c>
      <c r="D50" s="10" t="inlineStr">
        <is>
          <t>LL DJU MING</t>
        </is>
      </c>
      <c r="E50" s="10" t="inlineStr">
        <is>
          <t>LL 2713</t>
        </is>
      </c>
      <c r="F50" s="71" t="n">
        <v>44127.76041666666</v>
      </c>
      <c r="G50" s="71" t="n">
        <v>44128.84722222222</v>
      </c>
      <c r="H50" s="72" t="n">
        <v>5419.222</v>
      </c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</row>
    <row r="51">
      <c r="A51" s="9">
        <f>EOMONTH(G51,-1)+1</f>
        <v/>
      </c>
      <c r="B51" s="10" t="n">
        <v>595</v>
      </c>
      <c r="C51" s="10" t="inlineStr">
        <is>
          <t>PT DEMO SUPPLIER 7</t>
        </is>
      </c>
      <c r="D51" s="10" t="inlineStr">
        <is>
          <t>KSD 17</t>
        </is>
      </c>
      <c r="E51" s="10" t="inlineStr">
        <is>
          <t>KSD 38</t>
        </is>
      </c>
      <c r="F51" s="71" t="n">
        <v>44128.95138888889</v>
      </c>
      <c r="G51" s="71" t="n">
        <v>44130.5625</v>
      </c>
      <c r="H51" s="72" t="n">
        <v>5757.167</v>
      </c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</row>
    <row r="215" ht="30" customHeight="1"/>
    <row r="228" ht="30" customHeight="1"/>
    <row r="516" ht="30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budi hidayat</dc:creator>
  <dcterms:created xsi:type="dcterms:W3CDTF">2026-01-29T17:40:57Z</dcterms:created>
  <dcterms:modified xsi:type="dcterms:W3CDTF">2026-05-11T07:32:31Z</dcterms:modified>
  <cp:lastModifiedBy>budi hidayat</cp:lastModifiedBy>
</cp:coreProperties>
</file>