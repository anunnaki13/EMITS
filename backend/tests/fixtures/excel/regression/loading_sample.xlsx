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[$-409]mmm\-yy"/>
    <numFmt numFmtId="165" formatCode="m/d/yyyy\ h:mm"/>
    <numFmt numFmtId="166" formatCode="_(* #,##0.000_);_(* \(#,##0.000\);_(* &quot;-&quot;???_);_(@_)"/>
    <numFmt numFmtId="167" formatCode="[$-409]d\-mmm\-yyyy"/>
    <numFmt numFmtId="168" formatCode="#,##0.0"/>
    <numFmt numFmtId="169" formatCode="dd/mm/yyyy&quot; &quot;hh&quot;:&quot;mm"/>
    <numFmt numFmtId="170" formatCode="#,##0.000"/>
    <numFmt numFmtId="171" formatCode="_(* #,##0.000_);_(* \(#,##0.000\);_(* &quot;-&quot;_);_(@_)"/>
    <numFmt numFmtId="172" formatCode="[$-13809]d\ mmm\ yyyy;@"/>
    <numFmt numFmtId="173" formatCode="000"/>
    <numFmt numFmtId="174" formatCode="dd&quot;/&quot;mm&quot;/&quot;yyyy&quot; &quot;hh&quot;:&quot;mm"/>
    <numFmt numFmtId="175" formatCode="d\-mmm\-yy"/>
    <numFmt numFmtId="176" formatCode="mm/dd/yyyy\ hh:mm"/>
  </numFmts>
  <fonts count="6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0">
      <alignment horizontal="center" vertical="center" wrapText="1"/>
    </xf>
    <xf numFmtId="167" fontId="1" fillId="3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68" fontId="1" fillId="3" borderId="1" applyAlignment="1" pivotButton="0" quotePrefix="0" xfId="0">
      <alignment horizontal="center" vertical="center" wrapText="1"/>
    </xf>
    <xf numFmtId="4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center" vertical="center" wrapText="1"/>
    </xf>
    <xf numFmtId="17" fontId="3" fillId="4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169" fontId="2" fillId="5" borderId="1" applyAlignment="1" pivotButton="0" quotePrefix="0" xfId="0">
      <alignment horizontal="center" vertical="center"/>
    </xf>
    <xf numFmtId="170" fontId="2" fillId="5" borderId="1" applyAlignment="1" pivotButton="0" quotePrefix="0" xfId="0">
      <alignment horizontal="center" vertical="center"/>
    </xf>
    <xf numFmtId="0" fontId="2" fillId="5" borderId="1" applyAlignment="1" pivotButton="0" quotePrefix="1" xfId="0">
      <alignment horizontal="center" vertical="center"/>
    </xf>
    <xf numFmtId="167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1" fontId="2" fillId="5" borderId="0" applyAlignment="1" pivotButton="0" quotePrefix="0" xfId="0">
      <alignment horizontal="center" vertical="center"/>
    </xf>
    <xf numFmtId="168" fontId="2" fillId="5" borderId="0" applyAlignment="1" pivotButton="0" quotePrefix="0" xfId="0">
      <alignment horizontal="center" vertical="center"/>
    </xf>
    <xf numFmtId="3" fontId="2" fillId="5" borderId="0" applyAlignment="1" pivotButton="0" quotePrefix="0" xfId="0">
      <alignment horizontal="center" vertical="center"/>
    </xf>
    <xf numFmtId="171" fontId="2" fillId="5" borderId="1" applyAlignment="1" pivotButton="0" quotePrefix="0" xfId="0">
      <alignment horizontal="center" vertical="center"/>
    </xf>
    <xf numFmtId="172" fontId="2" fillId="5" borderId="1" applyAlignment="1" pivotButton="0" quotePrefix="0" xfId="0">
      <alignment horizontal="center" vertical="center"/>
    </xf>
    <xf numFmtId="1" fontId="2" fillId="5" borderId="1" applyAlignment="1" pivotButton="0" quotePrefix="0" xfId="0">
      <alignment horizontal="center" vertical="center"/>
    </xf>
    <xf numFmtId="168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173" fontId="2" fillId="5" borderId="1" applyAlignment="1" pivotButton="0" quotePrefix="0" xfId="0">
      <alignment horizontal="center" vertical="center"/>
    </xf>
    <xf numFmtId="1" fontId="2" fillId="5" borderId="3" applyAlignment="1" pivotButton="0" quotePrefix="0" xfId="0">
      <alignment horizontal="center" vertical="center"/>
    </xf>
    <xf numFmtId="168" fontId="2" fillId="5" borderId="3" applyAlignment="1" pivotButton="0" quotePrefix="0" xfId="0">
      <alignment horizontal="center" vertical="center"/>
    </xf>
    <xf numFmtId="4" fontId="2" fillId="5" borderId="3" applyAlignment="1" pivotButton="0" quotePrefix="0" xfId="0">
      <alignment horizontal="center" vertical="center"/>
    </xf>
    <xf numFmtId="3" fontId="2" fillId="5" borderId="3" applyAlignment="1" pivotButton="0" quotePrefix="0" xfId="0">
      <alignment horizontal="center" vertical="center"/>
    </xf>
    <xf numFmtId="167" fontId="2" fillId="5" borderId="4" applyAlignment="1" pivotButton="0" quotePrefix="0" xfId="0">
      <alignment horizontal="center" vertical="center"/>
    </xf>
    <xf numFmtId="4" fontId="2" fillId="5" borderId="5" applyAlignment="1" pivotButton="0" quotePrefix="0" xfId="0">
      <alignment horizontal="center" vertical="center"/>
    </xf>
    <xf numFmtId="1" fontId="2" fillId="5" borderId="6" applyAlignment="1" pivotButton="0" quotePrefix="0" xfId="0">
      <alignment horizontal="center" vertical="center"/>
    </xf>
    <xf numFmtId="168" fontId="2" fillId="5" borderId="6" applyAlignment="1" pivotButton="0" quotePrefix="0" xfId="0">
      <alignment horizontal="center" vertical="center"/>
    </xf>
    <xf numFmtId="4" fontId="2" fillId="5" borderId="6" applyAlignment="1" pivotButton="0" quotePrefix="0" xfId="0">
      <alignment horizontal="center" vertical="center"/>
    </xf>
    <xf numFmtId="3" fontId="2" fillId="5" borderId="6" applyAlignment="1" pivotButton="0" quotePrefix="0" xfId="0">
      <alignment horizontal="center" vertical="center"/>
    </xf>
    <xf numFmtId="4" fontId="2" fillId="5" borderId="0" applyAlignment="1" pivotButton="0" quotePrefix="0" xfId="0">
      <alignment horizontal="center" vertical="center"/>
    </xf>
    <xf numFmtId="174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174" fontId="2" fillId="5" borderId="1" applyAlignment="1" pivotButton="0" quotePrefix="0" xfId="0">
      <alignment horizontal="center" vertical="center" wrapText="1"/>
    </xf>
    <xf numFmtId="170" fontId="2" fillId="5" borderId="1" applyAlignment="1" pivotButton="0" quotePrefix="0" xfId="0">
      <alignment horizontal="center" vertical="center" wrapText="1"/>
    </xf>
    <xf numFmtId="169" fontId="2" fillId="5" borderId="1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/>
    </xf>
    <xf numFmtId="174" fontId="2" fillId="5" borderId="3" applyAlignment="1" pivotButton="0" quotePrefix="0" xfId="0">
      <alignment horizontal="center" vertical="center"/>
    </xf>
    <xf numFmtId="170" fontId="2" fillId="5" borderId="3" applyAlignment="1" pivotButton="0" quotePrefix="0" xfId="0">
      <alignment horizontal="center" vertical="center"/>
    </xf>
    <xf numFmtId="2" fontId="2" fillId="5" borderId="3" applyAlignment="1" pivotButton="0" quotePrefix="0" xfId="0">
      <alignment horizontal="center" vertical="center"/>
    </xf>
    <xf numFmtId="171" fontId="2" fillId="5" borderId="3" applyAlignment="1" pivotButton="0" quotePrefix="0" xfId="0">
      <alignment horizontal="center" vertical="center"/>
    </xf>
    <xf numFmtId="172" fontId="2" fillId="5" borderId="3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70" fontId="4" fillId="4" borderId="2" applyAlignment="1" pivotButton="0" quotePrefix="0" xfId="0">
      <alignment horizontal="center" vertical="center" wrapText="1"/>
    </xf>
    <xf numFmtId="3" fontId="4" fillId="4" borderId="2" applyAlignment="1" pivotButton="0" quotePrefix="0" xfId="0">
      <alignment horizontal="center" vertical="center" wrapText="1"/>
    </xf>
    <xf numFmtId="175" fontId="4" fillId="4" borderId="2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165" fontId="4" fillId="4" borderId="7" applyAlignment="1" pivotButton="0" quotePrefix="0" xfId="0">
      <alignment horizontal="center" vertical="center" wrapText="1"/>
    </xf>
    <xf numFmtId="170" fontId="4" fillId="4" borderId="7" applyAlignment="1" pivotButton="0" quotePrefix="0" xfId="0">
      <alignment horizontal="center" vertical="center" wrapText="1"/>
    </xf>
    <xf numFmtId="3" fontId="4" fillId="4" borderId="7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172" fontId="4" fillId="4" borderId="2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5" fontId="4" fillId="0" borderId="9" applyAlignment="1" pivotButton="0" quotePrefix="0" xfId="0">
      <alignment horizontal="center" vertical="center"/>
    </xf>
    <xf numFmtId="170" fontId="4" fillId="4" borderId="9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4" fontId="4" fillId="4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172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4" fontId="4" fillId="7" borderId="2" applyAlignment="1" pivotButton="0" quotePrefix="0" xfId="0">
      <alignment horizontal="center" vertical="center" wrapText="1"/>
    </xf>
    <xf numFmtId="2" fontId="4" fillId="7" borderId="2" applyAlignment="1" pivotButton="0" quotePrefix="0" xfId="0">
      <alignment horizontal="center" vertical="center" wrapText="1"/>
    </xf>
    <xf numFmtId="3" fontId="4" fillId="6" borderId="2" applyAlignment="1" pivotButton="0" quotePrefix="0" xfId="0">
      <alignment horizontal="center" vertical="center" wrapText="1"/>
    </xf>
    <xf numFmtId="17" fontId="3" fillId="4" borderId="8" applyAlignment="1" pivotButton="0" quotePrefix="0" xfId="0">
      <alignment horizontal="center" vertical="center" wrapText="1"/>
    </xf>
    <xf numFmtId="2" fontId="4" fillId="7" borderId="8" applyAlignment="1" pivotButton="0" quotePrefix="0" xfId="0">
      <alignment horizontal="center" vertical="center" wrapText="1"/>
    </xf>
    <xf numFmtId="1" fontId="4" fillId="6" borderId="2" applyAlignment="1" pivotButton="0" quotePrefix="0" xfId="0">
      <alignment horizontal="center" vertical="center" wrapText="1"/>
    </xf>
    <xf numFmtId="1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3" fontId="4" fillId="7" borderId="2" applyAlignment="1" pivotButton="0" quotePrefix="0" xfId="0">
      <alignment horizontal="center" vertical="center"/>
    </xf>
    <xf numFmtId="2" fontId="4" fillId="7" borderId="2" applyAlignment="1" pivotButton="0" quotePrefix="0" xfId="0">
      <alignment horizontal="center" vertical="center"/>
    </xf>
    <xf numFmtId="2" fontId="4" fillId="6" borderId="2" applyAlignment="1" pivotButton="0" quotePrefix="0" xfId="0">
      <alignment horizontal="center" vertical="center"/>
    </xf>
    <xf numFmtId="0" fontId="4" fillId="8" borderId="8" applyAlignment="1" pivotButton="0" quotePrefix="0" xfId="0">
      <alignment horizontal="center" vertical="center" wrapText="1"/>
    </xf>
    <xf numFmtId="168" fontId="4" fillId="6" borderId="2" applyAlignment="1" pivotButton="0" quotePrefix="0" xfId="0">
      <alignment horizontal="center" vertical="center"/>
    </xf>
    <xf numFmtId="175" fontId="4" fillId="6" borderId="2" applyAlignment="1" pivotButton="0" quotePrefix="0" xfId="0">
      <alignment horizontal="center" vertical="center" wrapText="1"/>
    </xf>
    <xf numFmtId="176" fontId="4" fillId="0" borderId="2" applyAlignment="1" pivotButton="0" quotePrefix="0" xfId="0">
      <alignment horizontal="center" vertical="center"/>
    </xf>
    <xf numFmtId="3" fontId="4" fillId="7" borderId="2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175" fontId="4" fillId="7" borderId="9" applyAlignment="1" pivotButton="0" quotePrefix="0" xfId="0">
      <alignment horizontal="center" vertical="center" wrapText="1"/>
    </xf>
    <xf numFmtId="3" fontId="4" fillId="7" borderId="9" applyAlignment="1" pivotButton="0" quotePrefix="0" xfId="0">
      <alignment horizontal="center" vertical="center" wrapText="1"/>
    </xf>
    <xf numFmtId="175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/>
    </xf>
    <xf numFmtId="0" fontId="4" fillId="7" borderId="1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wrapText="1"/>
    </xf>
    <xf numFmtId="175" fontId="4" fillId="7" borderId="2" applyAlignment="1" pivotButton="0" quotePrefix="0" xfId="0">
      <alignment horizontal="center" wrapText="1"/>
    </xf>
    <xf numFmtId="3" fontId="4" fillId="7" borderId="2" applyAlignment="1" pivotButton="0" quotePrefix="0" xfId="0">
      <alignment horizontal="center" wrapText="1"/>
    </xf>
    <xf numFmtId="0" fontId="5" fillId="7" borderId="2" applyAlignment="1" pivotButton="0" quotePrefix="0" xfId="0">
      <alignment horizontal="center" wrapText="1"/>
    </xf>
    <xf numFmtId="175" fontId="5" fillId="7" borderId="2" applyAlignment="1" pivotButton="0" quotePrefix="0" xfId="0">
      <alignment horizontal="center" wrapText="1"/>
    </xf>
    <xf numFmtId="3" fontId="5" fillId="7" borderId="2" applyAlignment="1" pivotButton="0" quotePrefix="0" xfId="0">
      <alignment horizontal="center" wrapText="1"/>
    </xf>
    <xf numFmtId="3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7" fontId="3" fillId="4" borderId="10" applyAlignment="1" pivotButton="0" quotePrefix="0" xfId="0">
      <alignment horizontal="center" vertical="center" wrapText="1"/>
    </xf>
    <xf numFmtId="0" fontId="4" fillId="8" borderId="9" applyAlignment="1" pivotButton="0" quotePrefix="0" xfId="0">
      <alignment horizontal="center" vertical="center"/>
    </xf>
    <xf numFmtId="0" fontId="4" fillId="4" borderId="10" applyAlignment="1" pivotButton="0" quotePrefix="0" xfId="0">
      <alignment horizontal="center" vertical="center" wrapText="1"/>
    </xf>
    <xf numFmtId="176" fontId="4" fillId="0" borderId="9" applyAlignment="1" pivotButton="0" quotePrefix="0" xfId="0">
      <alignment horizontal="center" vertical="center"/>
    </xf>
    <xf numFmtId="0" fontId="4" fillId="7" borderId="9" applyAlignment="1" pivotButton="0" quotePrefix="0" xfId="0">
      <alignment horizontal="center" wrapText="1"/>
    </xf>
    <xf numFmtId="175" fontId="4" fillId="7" borderId="9" applyAlignment="1" pivotButton="0" quotePrefix="0" xfId="0">
      <alignment horizontal="center" wrapText="1"/>
    </xf>
    <xf numFmtId="3" fontId="4" fillId="7" borderId="9" applyAlignment="1" pivotButton="0" quotePrefix="0" xfId="0">
      <alignment horizontal="center" wrapText="1"/>
    </xf>
    <xf numFmtId="0" fontId="4" fillId="7" borderId="2" applyAlignment="1" pivotButton="0" quotePrefix="0" xfId="0">
      <alignment vertical="center" wrapText="1"/>
    </xf>
    <xf numFmtId="175" fontId="4" fillId="7" borderId="2" applyAlignment="1" pivotButton="0" quotePrefix="0" xfId="0">
      <alignment horizontal="center" vertical="center"/>
    </xf>
    <xf numFmtId="1" fontId="4" fillId="7" borderId="2" applyAlignment="1" pivotButton="0" quotePrefix="0" xfId="0">
      <alignment horizontal="center" vertical="center"/>
    </xf>
    <xf numFmtId="168" fontId="4" fillId="7" borderId="2" applyAlignment="1" pivotButton="0" quotePrefix="0" xfId="0">
      <alignment horizontal="center" vertical="center"/>
    </xf>
    <xf numFmtId="3" fontId="4" fillId="7" borderId="9" applyAlignment="1" pivotButton="0" quotePrefix="0" xfId="0">
      <alignment horizontal="center" vertical="center"/>
    </xf>
    <xf numFmtId="0" fontId="4" fillId="7" borderId="9" applyAlignment="1" pivotButton="0" quotePrefix="0" xfId="0">
      <alignment horizontal="center" vertical="center"/>
    </xf>
    <xf numFmtId="17" fontId="3" fillId="9" borderId="2" applyAlignment="1" pivotButton="0" quotePrefix="0" xfId="0">
      <alignment horizontal="center" vertical="center" wrapText="1"/>
    </xf>
    <xf numFmtId="168" fontId="1" fillId="3" borderId="1" applyAlignment="1" pivotButton="0" quotePrefix="0" xfId="0">
      <alignment horizontal="center" vertical="center" wrapText="1"/>
    </xf>
    <xf numFmtId="169" fontId="2" fillId="5" borderId="1" applyAlignment="1" pivotButton="0" quotePrefix="0" xfId="0">
      <alignment horizontal="center" vertical="center"/>
    </xf>
    <xf numFmtId="170" fontId="2" fillId="5" borderId="1" applyAlignment="1" pivotButton="0" quotePrefix="0" xfId="0">
      <alignment horizontal="center" vertical="center"/>
    </xf>
    <xf numFmtId="168" fontId="2" fillId="5" borderId="0" applyAlignment="1" pivotButton="0" quotePrefix="0" xfId="0">
      <alignment horizontal="center" vertical="center"/>
    </xf>
    <xf numFmtId="171" fontId="2" fillId="5" borderId="1" applyAlignment="1" pivotButton="0" quotePrefix="0" xfId="0">
      <alignment horizontal="center" vertical="center"/>
    </xf>
    <xf numFmtId="172" fontId="2" fillId="5" borderId="1" applyAlignment="1" pivotButton="0" quotePrefix="0" xfId="0">
      <alignment horizontal="center" vertical="center"/>
    </xf>
    <xf numFmtId="168" fontId="2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D1" authorId="0" shapeId="0">
      <text>
        <t>======
ID#AAAAKAkAxOU
    (2020-07-22 07:07:45)
Tug Boat</t>
      </text>
    </comment>
    <comment ref="E1" authorId="0" shapeId="0">
      <text>
        <t>======
ID#AAAAKAkAxP0
    (2020-07-22 07:07:45)
Tongkang</t>
      </text>
    </comment>
    <comment ref="F1" authorId="0" shapeId="0">
      <text>
        <t>======
ID#AAAAKAkAxd4
    (2020-07-22 07:07:45)
mulai bongkar</t>
      </text>
    </comment>
    <comment ref="H1" authorId="0" shapeId="0">
      <text>
        <t>======
ID#AAAAKAkAxJc
    (2020-07-22 07:07:45)
(COW)</t>
      </text>
    </comment>
    <comment ref="L1" authorId="0" shapeId="0">
      <text>
        <t xml:space="preserve">
&lt;4000</t>
      </text>
    </comment>
    <comment ref="N1" authorId="0" shapeId="0">
      <text>
        <t xml:space="preserve">
&lt;4000</t>
      </text>
    </comment>
    <comment ref="O1" authorId="0" shapeId="0">
      <text>
        <t xml:space="preserve">
&gt;37</t>
      </text>
    </comment>
    <comment ref="Q1" authorId="0" shapeId="0">
      <text>
        <t xml:space="preserve">
&gt;8</t>
      </text>
    </comment>
    <comment ref="X1" authorId="0" shapeId="0">
      <text>
        <t xml:space="preserve">
&gt;0,5</t>
      </text>
    </comment>
    <comment ref="AB1" authorId="0" shapeId="0">
      <text>
        <t xml:space="preserve">
&lt;1100</t>
      </text>
    </comment>
    <comment ref="AC1" authorId="0" shapeId="0">
      <text>
        <t xml:space="preserve">
&lt;45 - &gt;65</t>
      </text>
    </comment>
    <comment ref="AD1" authorId="0" shapeId="0">
      <text>
        <t>======
ID#AAAAKAkAxVg
Vaio taufik    (2020-07-22 07:07:45)
&lt;95%</t>
      </text>
    </comment>
    <comment ref="AG1" authorId="0" shapeId="0">
      <text>
        <t xml:space="preserve">
&gt;27%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tabSelected="1" workbookViewId="0">
      <selection activeCell="J22" sqref="J22"/>
    </sheetView>
  </sheetViews>
  <sheetFormatPr baseColWidth="8" defaultRowHeight="15"/>
  <cols>
    <col width="8" bestFit="1" customWidth="1" min="1" max="1"/>
    <col width="8.85546875" bestFit="1" customWidth="1" min="2" max="2"/>
    <col width="23.7109375" bestFit="1" customWidth="1" min="3" max="3"/>
    <col width="23.42578125" bestFit="1" customWidth="1" min="4" max="4"/>
    <col width="24.42578125" bestFit="1" customWidth="1" min="5" max="5"/>
    <col width="15.85546875" bestFit="1" customWidth="1" min="6" max="7"/>
    <col width="10.140625" bestFit="1" customWidth="1" min="8" max="8"/>
    <col width="24.42578125" bestFit="1" customWidth="1" min="9" max="9"/>
    <col width="11.85546875" bestFit="1" customWidth="1" min="10" max="10"/>
    <col width="34" bestFit="1" customWidth="1" min="11" max="11"/>
    <col width="9" bestFit="1" customWidth="1" min="12" max="14"/>
    <col width="6.28515625" bestFit="1" customWidth="1" min="15" max="15"/>
    <col width="8.140625" bestFit="1" customWidth="1" min="17" max="19"/>
    <col width="6.28515625" bestFit="1" customWidth="1" min="20" max="21"/>
    <col width="8.85546875" bestFit="1" customWidth="1" min="22" max="23"/>
    <col width="7.85546875" bestFit="1" customWidth="1" min="24" max="27"/>
    <col width="6.7109375" bestFit="1" customWidth="1" min="29" max="29"/>
    <col width="8.28515625" bestFit="1" customWidth="1" min="30" max="32"/>
    <col width="6.28515625" bestFit="1" customWidth="1" min="33" max="33"/>
  </cols>
  <sheetData>
    <row r="1" ht="60" customHeight="1">
      <c r="A1" s="1" t="inlineStr">
        <is>
          <t>Periode</t>
        </is>
      </c>
      <c r="B1" s="2" t="inlineStr">
        <is>
          <t>Shipment</t>
        </is>
      </c>
      <c r="C1" s="2" t="inlineStr">
        <is>
          <t>Suppliers</t>
        </is>
      </c>
      <c r="D1" s="2" t="inlineStr">
        <is>
          <t>TB</t>
        </is>
      </c>
      <c r="E1" s="2" t="inlineStr">
        <is>
          <t>BG</t>
        </is>
      </c>
      <c r="F1" s="3" t="inlineStr">
        <is>
          <t>Commenced Unloading</t>
        </is>
      </c>
      <c r="G1" s="3" t="inlineStr">
        <is>
          <t>Completed Unloading</t>
        </is>
      </c>
      <c r="H1" s="4" t="inlineStr">
        <is>
          <t>DS (MT)</t>
        </is>
      </c>
      <c r="I1" s="5" t="inlineStr">
        <is>
          <t>NO.COA</t>
        </is>
      </c>
      <c r="J1" s="6" t="inlineStr">
        <is>
          <t>Tgl Terbit COA</t>
        </is>
      </c>
      <c r="K1" s="6" t="inlineStr">
        <is>
          <t>Surveyor Loading</t>
        </is>
      </c>
      <c r="L1" s="7" t="inlineStr">
        <is>
          <t>GCV (Kcal/Kg)
ARB</t>
        </is>
      </c>
      <c r="M1" s="124" t="inlineStr">
        <is>
          <t>GCV (Kcal/Kg)
ADB</t>
        </is>
      </c>
      <c r="N1" s="124" t="inlineStr">
        <is>
          <t>GCV (Kcal/Kg)
DB</t>
        </is>
      </c>
      <c r="O1" s="9" t="inlineStr">
        <is>
          <t>TM (%wt)
ARB</t>
        </is>
      </c>
      <c r="P1" s="9" t="inlineStr">
        <is>
          <t>IM (%wt) 
ADB</t>
        </is>
      </c>
      <c r="Q1" s="9" t="inlineStr">
        <is>
          <t>Ash 
Content (%wt) 
ARB</t>
        </is>
      </c>
      <c r="R1" s="9" t="inlineStr">
        <is>
          <t>Ash 
Content (%wt)
ADB</t>
        </is>
      </c>
      <c r="S1" s="9" t="inlineStr">
        <is>
          <t>Ash 
Content (%wt)
DB</t>
        </is>
      </c>
      <c r="T1" s="9" t="inlineStr">
        <is>
          <t>VM (%wt)
ARB</t>
        </is>
      </c>
      <c r="U1" s="9" t="inlineStr">
        <is>
          <t>VM (%wt)
ADB</t>
        </is>
      </c>
      <c r="V1" s="9" t="inlineStr">
        <is>
          <t>FC (%wt)
ARB</t>
        </is>
      </c>
      <c r="W1" s="9" t="inlineStr">
        <is>
          <t>FC (%wt)
ADB</t>
        </is>
      </c>
      <c r="X1" s="9" t="inlineStr">
        <is>
          <t>Total Sulphur (%wt)
ARB</t>
        </is>
      </c>
      <c r="Y1" s="9" t="inlineStr">
        <is>
          <t>Total Sulphur (%wt)
ADB</t>
        </is>
      </c>
      <c r="Z1" s="9" t="inlineStr">
        <is>
          <t>Total Sulphur (%wt)
DB</t>
        </is>
      </c>
      <c r="AA1" s="9" t="inlineStr">
        <is>
          <t>Total Sulphur (%wt)
DAF</t>
        </is>
      </c>
      <c r="AB1" s="7" t="inlineStr">
        <is>
          <t>IDT Reducing (C°)</t>
        </is>
      </c>
      <c r="AC1" s="10" t="inlineStr">
        <is>
          <t>HGI (Point Index)</t>
        </is>
      </c>
      <c r="AD1" s="9" t="inlineStr">
        <is>
          <t>&lt; 70 mm (%wt)</t>
        </is>
      </c>
      <c r="AE1" s="9" t="inlineStr">
        <is>
          <t>&lt; 50 mm (%wt)</t>
        </is>
      </c>
      <c r="AF1" s="9" t="inlineStr">
        <is>
          <t>&lt; 32 mm (%wt)</t>
        </is>
      </c>
      <c r="AG1" s="9" t="inlineStr">
        <is>
          <t>&lt; 2,38 mm (%wt)</t>
        </is>
      </c>
    </row>
    <row r="2">
      <c r="A2" s="11">
        <f>EOMONTH(G2,-1)+1</f>
        <v/>
      </c>
      <c r="B2" s="12" t="n">
        <v>555</v>
      </c>
      <c r="C2" s="12" t="inlineStr">
        <is>
          <t>PT DEMO SUPPLIER 1</t>
        </is>
      </c>
      <c r="D2" s="12" t="inlineStr">
        <is>
          <t>MAJU DAYA 81</t>
        </is>
      </c>
      <c r="E2" s="12" t="inlineStr">
        <is>
          <t>MARCOPOLO 278</t>
        </is>
      </c>
      <c r="F2" s="125" t="n">
        <v>44045.41319444445</v>
      </c>
      <c r="G2" s="125" t="n">
        <v>44046.59375</v>
      </c>
      <c r="H2" s="126" t="n">
        <v>5626.021</v>
      </c>
      <c r="I2" s="20" t="n"/>
      <c r="J2" s="20" t="n"/>
      <c r="K2" s="20" t="n"/>
      <c r="L2" s="21" t="n"/>
      <c r="M2" s="21" t="n"/>
      <c r="N2" s="127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3" t="n"/>
      <c r="AD2" s="20" t="n"/>
      <c r="AE2" s="20" t="n"/>
      <c r="AF2" s="20" t="n"/>
      <c r="AG2" s="20" t="n"/>
    </row>
    <row r="3">
      <c r="A3" s="11">
        <f>EOMONTH(G3,-1)+1</f>
        <v/>
      </c>
      <c r="B3" s="12" t="n">
        <v>556</v>
      </c>
      <c r="C3" s="12" t="inlineStr">
        <is>
          <t>PT DEMO SUPPLIER 2</t>
        </is>
      </c>
      <c r="D3" s="12" t="inlineStr">
        <is>
          <t>ADOVELIN</t>
        </is>
      </c>
      <c r="E3" s="12" t="inlineStr">
        <is>
          <t>TIMUR 12</t>
        </is>
      </c>
      <c r="F3" s="125" t="n">
        <v>44046.6875</v>
      </c>
      <c r="G3" s="125" t="n">
        <v>44047.71527777778</v>
      </c>
      <c r="H3" s="126" t="n">
        <v>5040.677</v>
      </c>
      <c r="I3" s="128" t="inlineStr">
        <is>
          <t>COA-DEMO-0002</t>
        </is>
      </c>
      <c r="J3" s="129" t="n">
        <v>44046</v>
      </c>
      <c r="K3" s="16" t="inlineStr">
        <is>
          <t>PT SUCOFINDO</t>
        </is>
      </c>
      <c r="L3" s="26" t="n">
        <v>4211</v>
      </c>
      <c r="M3" s="26" t="n"/>
      <c r="N3" s="130" t="n">
        <v>6328</v>
      </c>
      <c r="O3" s="18" t="n">
        <v>33.46</v>
      </c>
      <c r="P3" s="18" t="n">
        <v>14.24</v>
      </c>
      <c r="Q3" s="18" t="n">
        <v>4.89</v>
      </c>
      <c r="R3" s="18" t="n">
        <v>6.3</v>
      </c>
      <c r="S3" s="18" t="n">
        <v>7.34</v>
      </c>
      <c r="T3" s="18" t="n">
        <v>30.89</v>
      </c>
      <c r="U3" s="18" t="n">
        <v>39.81</v>
      </c>
      <c r="V3" s="18" t="n">
        <v>30.76</v>
      </c>
      <c r="W3" s="18" t="n">
        <v>39.65</v>
      </c>
      <c r="X3" s="18" t="n">
        <v>0.24</v>
      </c>
      <c r="Y3" s="18" t="n">
        <v>0.31</v>
      </c>
      <c r="Z3" s="18" t="n">
        <v>0.36</v>
      </c>
      <c r="AA3" s="18" t="n"/>
      <c r="AB3" s="18" t="n"/>
      <c r="AC3" s="28" t="n">
        <v>57</v>
      </c>
      <c r="AD3" s="18" t="n">
        <v>98.06</v>
      </c>
      <c r="AE3" s="18" t="n">
        <v>96.02</v>
      </c>
      <c r="AF3" s="18" t="inlineStr">
        <is>
          <t>-</t>
        </is>
      </c>
      <c r="AG3" s="18" t="n">
        <v>17.08</v>
      </c>
    </row>
    <row r="4">
      <c r="A4" s="11">
        <f>EOMONTH(G4,-1)+1</f>
        <v/>
      </c>
      <c r="B4" s="12" t="n">
        <v>557</v>
      </c>
      <c r="C4" s="12" t="inlineStr">
        <is>
          <t>PT DEMO SUPPLIER 3</t>
        </is>
      </c>
      <c r="D4" s="12" t="inlineStr">
        <is>
          <t>BOJOMA 01</t>
        </is>
      </c>
      <c r="E4" s="12" t="inlineStr">
        <is>
          <t>FLY POWER 2705</t>
        </is>
      </c>
      <c r="F4" s="125" t="n">
        <v>44052.70833333334</v>
      </c>
      <c r="G4" s="125" t="n">
        <v>44055.45833333334</v>
      </c>
      <c r="H4" s="126" t="n">
        <v>5310.946</v>
      </c>
      <c r="I4" s="128" t="inlineStr">
        <is>
          <t>COA-DEMO-0003</t>
        </is>
      </c>
      <c r="J4" s="129" t="n">
        <v>44050</v>
      </c>
      <c r="K4" s="16" t="inlineStr">
        <is>
          <t>PT SURVEYOR INDONESIA</t>
        </is>
      </c>
      <c r="L4" s="26" t="n">
        <v>4247</v>
      </c>
      <c r="M4" s="26" t="n"/>
      <c r="N4" s="130" t="n">
        <v>6506</v>
      </c>
      <c r="O4" s="18" t="n">
        <v>34.72</v>
      </c>
      <c r="P4" s="18" t="n">
        <v>17.52</v>
      </c>
      <c r="Q4" s="18" t="n">
        <v>4.31</v>
      </c>
      <c r="R4" s="18" t="n">
        <v>5.45</v>
      </c>
      <c r="S4" s="18" t="n">
        <v>6.61</v>
      </c>
      <c r="T4" s="18" t="n">
        <v>34.79</v>
      </c>
      <c r="U4" s="18" t="n">
        <v>43.96</v>
      </c>
      <c r="V4" s="18" t="n">
        <v>26.17</v>
      </c>
      <c r="W4" s="18" t="n">
        <v>33.07</v>
      </c>
      <c r="X4" s="18" t="n">
        <v>0.13</v>
      </c>
      <c r="Y4" s="18" t="n">
        <v>0.16</v>
      </c>
      <c r="Z4" s="18" t="n">
        <v>0.19</v>
      </c>
      <c r="AA4" s="18" t="n"/>
      <c r="AB4" s="18" t="n"/>
      <c r="AC4" s="28" t="n">
        <v>55</v>
      </c>
      <c r="AD4" s="18" t="n">
        <v>99</v>
      </c>
      <c r="AE4" s="18" t="n">
        <v>98</v>
      </c>
      <c r="AF4" s="18" t="n">
        <v>79</v>
      </c>
      <c r="AG4" s="18" t="n">
        <v>19</v>
      </c>
    </row>
    <row r="5">
      <c r="A5" s="11">
        <f>EOMONTH(G5,-1)+1</f>
        <v/>
      </c>
      <c r="B5" s="12" t="n">
        <v>558</v>
      </c>
      <c r="C5" s="12" t="inlineStr">
        <is>
          <t>PT DEMO SUPPLIER 3</t>
        </is>
      </c>
      <c r="D5" s="12" t="inlineStr">
        <is>
          <t>MOMENTUM 07</t>
        </is>
      </c>
      <c r="E5" s="12" t="inlineStr">
        <is>
          <t>MULTI 2701</t>
        </is>
      </c>
      <c r="F5" s="125" t="n">
        <v>44056.42083333333</v>
      </c>
      <c r="G5" s="125" t="n">
        <v>44057.81944444445</v>
      </c>
      <c r="H5" s="126" t="n">
        <v>5735.277</v>
      </c>
      <c r="I5" s="128" t="inlineStr">
        <is>
          <t>COA-DEMO-0004</t>
        </is>
      </c>
      <c r="J5" s="129" t="n">
        <v>44053</v>
      </c>
      <c r="K5" s="16" t="inlineStr">
        <is>
          <t>PT SURVEYOR INDONESIA</t>
        </is>
      </c>
      <c r="L5" s="26" t="n">
        <v>4217</v>
      </c>
      <c r="M5" s="26" t="n"/>
      <c r="N5" s="130" t="n">
        <v>6457</v>
      </c>
      <c r="O5" s="18" t="n">
        <v>34.69</v>
      </c>
      <c r="P5" s="18" t="n">
        <v>16.65</v>
      </c>
      <c r="Q5" s="18" t="n">
        <v>4.34</v>
      </c>
      <c r="R5" s="18" t="n">
        <v>5.54</v>
      </c>
      <c r="S5" s="18" t="n">
        <v>6.65</v>
      </c>
      <c r="T5" s="18" t="n">
        <v>33.62</v>
      </c>
      <c r="U5" s="18" t="n">
        <v>42.91</v>
      </c>
      <c r="V5" s="18" t="n">
        <v>27.35</v>
      </c>
      <c r="W5" s="18" t="n">
        <v>34.9</v>
      </c>
      <c r="X5" s="18" t="n">
        <v>0.15</v>
      </c>
      <c r="Y5" s="18" t="n">
        <v>0.19</v>
      </c>
      <c r="Z5" s="18" t="n">
        <v>0.23</v>
      </c>
      <c r="AA5" s="18" t="n"/>
      <c r="AB5" s="18" t="n"/>
      <c r="AC5" s="28" t="n">
        <v>56</v>
      </c>
      <c r="AD5" s="18" t="n">
        <v>99</v>
      </c>
      <c r="AE5" s="18" t="n">
        <v>98</v>
      </c>
      <c r="AF5" s="18" t="n">
        <v>79</v>
      </c>
      <c r="AG5" s="18" t="n">
        <v>19</v>
      </c>
    </row>
    <row r="6">
      <c r="A6" s="11">
        <f>EOMONTH(G6,-1)+1</f>
        <v/>
      </c>
      <c r="B6" s="12" t="n">
        <v>559</v>
      </c>
      <c r="C6" s="12" t="inlineStr">
        <is>
          <t>PT DEMO SUPPLIER 3</t>
        </is>
      </c>
      <c r="D6" s="12" t="inlineStr">
        <is>
          <t>MERPATI 2701</t>
        </is>
      </c>
      <c r="E6" s="12" t="inlineStr">
        <is>
          <t>RAJAWALI 2701</t>
        </is>
      </c>
      <c r="F6" s="125" t="n">
        <v>44068.50694444445</v>
      </c>
      <c r="G6" s="125" t="n">
        <v>44069.61111111111</v>
      </c>
      <c r="H6" s="126" t="n">
        <v>5073.602</v>
      </c>
      <c r="I6" s="128" t="inlineStr">
        <is>
          <t>COA-DEMO-0005</t>
        </is>
      </c>
      <c r="J6" s="129" t="n">
        <v>44065</v>
      </c>
      <c r="K6" s="16" t="inlineStr">
        <is>
          <t>PT SURVEYOR INDONESIA</t>
        </is>
      </c>
      <c r="L6" s="26" t="n">
        <v>4270</v>
      </c>
      <c r="M6" s="26" t="n"/>
      <c r="N6" s="130" t="n"/>
      <c r="O6" s="18" t="n">
        <v>34.69</v>
      </c>
      <c r="P6" s="18" t="n">
        <v>18.06</v>
      </c>
      <c r="Q6" s="18" t="n">
        <v>4.62</v>
      </c>
      <c r="R6" s="18" t="n">
        <v>5.8</v>
      </c>
      <c r="S6" s="18" t="n"/>
      <c r="T6" s="18" t="n">
        <v>33.88</v>
      </c>
      <c r="U6" s="18" t="n">
        <v>42.51</v>
      </c>
      <c r="V6" s="18" t="n">
        <v>26.8</v>
      </c>
      <c r="W6" s="18" t="n">
        <v>33.63</v>
      </c>
      <c r="X6" s="18" t="n">
        <v>0.13</v>
      </c>
      <c r="Y6" s="18" t="n">
        <v>0.16</v>
      </c>
      <c r="Z6" s="18" t="n"/>
      <c r="AA6" s="18" t="n"/>
      <c r="AB6" s="18" t="n"/>
      <c r="AC6" s="28" t="n">
        <v>55</v>
      </c>
      <c r="AD6" s="18" t="n">
        <v>99</v>
      </c>
      <c r="AE6" s="18" t="n">
        <v>98</v>
      </c>
      <c r="AF6" s="18" t="n">
        <v>79</v>
      </c>
      <c r="AG6" s="18" t="n">
        <v>19</v>
      </c>
    </row>
    <row r="7">
      <c r="A7" s="11">
        <f>EOMONTH(G7,-1)+1</f>
        <v/>
      </c>
      <c r="B7" s="12" t="n">
        <v>560</v>
      </c>
      <c r="C7" s="12" t="inlineStr">
        <is>
          <t>PT DEMO SUPPLIER 3</t>
        </is>
      </c>
      <c r="D7" s="12" t="inlineStr">
        <is>
          <t>LL MASERATII 03</t>
        </is>
      </c>
      <c r="E7" s="12" t="inlineStr">
        <is>
          <t>LL 2712</t>
        </is>
      </c>
      <c r="F7" s="125" t="n">
        <v>44069.71875</v>
      </c>
      <c r="G7" s="125" t="n">
        <v>44070.9375</v>
      </c>
      <c r="H7" s="126" t="n">
        <v>5525.172</v>
      </c>
      <c r="I7" s="128" t="inlineStr">
        <is>
          <t>COA-DEMO-0006</t>
        </is>
      </c>
      <c r="J7" s="129" t="n">
        <v>44064</v>
      </c>
      <c r="K7" s="16" t="inlineStr">
        <is>
          <t>PT SURVEYOR INDONESIA</t>
        </is>
      </c>
      <c r="L7" s="26" t="n">
        <v>4256</v>
      </c>
      <c r="M7" s="26" t="n"/>
      <c r="N7" s="130" t="n">
        <v>6515</v>
      </c>
      <c r="O7" s="18" t="n">
        <v>34.67</v>
      </c>
      <c r="P7" s="18" t="n">
        <v>18.06</v>
      </c>
      <c r="Q7" s="18" t="n">
        <v>4.68</v>
      </c>
      <c r="R7" s="18" t="n">
        <v>5.87</v>
      </c>
      <c r="S7" s="18" t="n">
        <v>7.16</v>
      </c>
      <c r="T7" s="18" t="n">
        <v>32.98</v>
      </c>
      <c r="U7" s="18" t="n">
        <v>41.36</v>
      </c>
      <c r="V7" s="18" t="n">
        <v>27.67</v>
      </c>
      <c r="W7" s="18" t="n">
        <v>34.71</v>
      </c>
      <c r="X7" s="18" t="n">
        <v>0.3</v>
      </c>
      <c r="Y7" s="18" t="n">
        <v>0.38</v>
      </c>
      <c r="Z7" s="18" t="n">
        <v>0.46</v>
      </c>
      <c r="AA7" s="18" t="n"/>
      <c r="AB7" s="18" t="n"/>
      <c r="AC7" s="28" t="n">
        <v>56</v>
      </c>
      <c r="AD7" s="18" t="n">
        <v>99</v>
      </c>
      <c r="AE7" s="18" t="n">
        <v>98</v>
      </c>
      <c r="AF7" s="18" t="n">
        <v>79</v>
      </c>
      <c r="AG7" s="18" t="n">
        <v>19</v>
      </c>
    </row>
    <row r="8">
      <c r="A8" s="11">
        <f>EOMONTH(G8,-1)+1</f>
        <v/>
      </c>
      <c r="B8" s="12" t="n">
        <v>561</v>
      </c>
      <c r="C8" s="12" t="inlineStr">
        <is>
          <t>PT DEMO SUPPLIER 3</t>
        </is>
      </c>
      <c r="D8" s="12" t="inlineStr">
        <is>
          <t>BOJOMA 01</t>
        </is>
      </c>
      <c r="E8" s="12" t="inlineStr">
        <is>
          <t>FLY POWER 2705</t>
        </is>
      </c>
      <c r="F8" s="125" t="n">
        <v>44070.99652777778</v>
      </c>
      <c r="G8" s="125" t="n">
        <v>44072.26041666666</v>
      </c>
      <c r="H8" s="126" t="n">
        <v>5420.154</v>
      </c>
      <c r="I8" s="128" t="inlineStr">
        <is>
          <t>COA-DEMO-0007</t>
        </is>
      </c>
      <c r="J8" s="129" t="n">
        <v>44065</v>
      </c>
      <c r="K8" s="16" t="inlineStr">
        <is>
          <t>PT SURVEYOR INDONESIA</t>
        </is>
      </c>
      <c r="L8" s="26" t="n">
        <v>4260</v>
      </c>
      <c r="M8" s="26" t="n"/>
      <c r="N8" s="130" t="n">
        <v>6504</v>
      </c>
      <c r="O8" s="18" t="n">
        <v>34.5</v>
      </c>
      <c r="P8" s="18" t="n">
        <v>17.93</v>
      </c>
      <c r="Q8" s="18" t="n">
        <v>4.9</v>
      </c>
      <c r="R8" s="18" t="n">
        <v>6.14</v>
      </c>
      <c r="S8" s="18" t="n">
        <v>7.48</v>
      </c>
      <c r="T8" s="18" t="n">
        <v>31.38</v>
      </c>
      <c r="U8" s="18" t="n">
        <v>39.32</v>
      </c>
      <c r="V8" s="18" t="n">
        <v>29.22</v>
      </c>
      <c r="W8" s="18" t="n">
        <v>36.61</v>
      </c>
      <c r="X8" s="18" t="n">
        <v>0.34</v>
      </c>
      <c r="Y8" s="18" t="n">
        <v>0.42</v>
      </c>
      <c r="Z8" s="18" t="n">
        <v>0.51</v>
      </c>
      <c r="AA8" s="18" t="n"/>
      <c r="AB8" s="18" t="n"/>
      <c r="AC8" s="28" t="n">
        <v>55</v>
      </c>
      <c r="AD8" s="18" t="n">
        <v>99</v>
      </c>
      <c r="AE8" s="18" t="n">
        <v>98</v>
      </c>
      <c r="AF8" s="18" t="n">
        <v>79</v>
      </c>
      <c r="AG8" s="18" t="n">
        <v>19</v>
      </c>
    </row>
    <row r="9">
      <c r="A9" s="11">
        <f>EOMONTH(G9,-1)+1</f>
        <v/>
      </c>
      <c r="B9" s="12" t="n">
        <v>562</v>
      </c>
      <c r="C9" s="12" t="inlineStr">
        <is>
          <t>PT DEMO SUPPLIER 2</t>
        </is>
      </c>
      <c r="D9" s="12" t="inlineStr">
        <is>
          <t>MEGA DAYA 51</t>
        </is>
      </c>
      <c r="E9" s="12" t="inlineStr">
        <is>
          <t>MARCOPOLO 2528</t>
        </is>
      </c>
      <c r="F9" s="125" t="n">
        <v>44072.34027777778</v>
      </c>
      <c r="G9" s="125" t="n">
        <v>44073.57638888889</v>
      </c>
      <c r="H9" s="126" t="n">
        <v>5288.158</v>
      </c>
      <c r="I9" s="15" t="inlineStr">
        <is>
          <t>COA-DEMO-0008</t>
        </is>
      </c>
      <c r="J9" s="129" t="n">
        <v>44065</v>
      </c>
      <c r="K9" s="12" t="inlineStr">
        <is>
          <t>PT GEOSERVICES</t>
        </is>
      </c>
      <c r="L9" s="26" t="n">
        <v>4210</v>
      </c>
      <c r="M9" s="26" t="n"/>
      <c r="N9" s="130" t="n">
        <v>6520</v>
      </c>
      <c r="O9" s="18" t="n">
        <v>35.43</v>
      </c>
      <c r="P9" s="18" t="n">
        <v>14.98</v>
      </c>
      <c r="Q9" s="18" t="n">
        <v>4.59</v>
      </c>
      <c r="R9" s="18" t="n">
        <v>6.04</v>
      </c>
      <c r="S9" s="18" t="n">
        <v>7.1</v>
      </c>
      <c r="T9" s="18" t="n">
        <v>30.1</v>
      </c>
      <c r="U9" s="18" t="n">
        <v>39.63</v>
      </c>
      <c r="V9" s="18" t="n">
        <v>29.89</v>
      </c>
      <c r="W9" s="18" t="n">
        <v>39.35</v>
      </c>
      <c r="X9" s="18" t="n">
        <v>0.27</v>
      </c>
      <c r="Y9" s="18" t="n">
        <v>0.35</v>
      </c>
      <c r="Z9" s="18" t="n">
        <v>0.41</v>
      </c>
      <c r="AA9" s="18" t="n"/>
      <c r="AB9" s="18" t="n"/>
      <c r="AC9" s="28" t="n">
        <v>52</v>
      </c>
      <c r="AD9" s="18" t="n">
        <v>100</v>
      </c>
      <c r="AE9" s="18" t="inlineStr">
        <is>
          <t>-</t>
        </is>
      </c>
      <c r="AF9" s="18" t="inlineStr">
        <is>
          <t>-</t>
        </is>
      </c>
      <c r="AG9" s="18" t="n">
        <v>14.53</v>
      </c>
    </row>
    <row r="10">
      <c r="A10" s="11">
        <f>EOMONTH(G10,-1)+1</f>
        <v/>
      </c>
      <c r="B10" s="12" t="n">
        <v>563</v>
      </c>
      <c r="C10" s="12" t="inlineStr">
        <is>
          <t>PT DEMO SUPPLIER 3</t>
        </is>
      </c>
      <c r="D10" s="12" t="inlineStr">
        <is>
          <t>SINAR SEJAHTERA 128</t>
        </is>
      </c>
      <c r="E10" s="12" t="inlineStr">
        <is>
          <t>CAPRICORN 41</t>
        </is>
      </c>
      <c r="F10" s="125" t="n">
        <v>44073.66319444445</v>
      </c>
      <c r="G10" s="125" t="n">
        <v>44074.8125</v>
      </c>
      <c r="H10" s="126" t="n">
        <v>5561.553</v>
      </c>
      <c r="I10" s="128" t="inlineStr">
        <is>
          <t>COA-DEMO-0009</t>
        </is>
      </c>
      <c r="J10" s="129" t="n">
        <v>44069</v>
      </c>
      <c r="K10" s="16" t="inlineStr">
        <is>
          <t>PT SURVEYOR INDONESIA</t>
        </is>
      </c>
      <c r="L10" s="26" t="n">
        <v>4244</v>
      </c>
      <c r="M10" s="26" t="n"/>
      <c r="N10" s="130" t="n">
        <v>6486</v>
      </c>
      <c r="O10" s="18" t="n">
        <v>34.57</v>
      </c>
      <c r="P10" s="18" t="n">
        <v>17.02</v>
      </c>
      <c r="Q10" s="18" t="n">
        <v>4.53</v>
      </c>
      <c r="R10" s="18" t="n">
        <v>5.74</v>
      </c>
      <c r="S10" s="18" t="n">
        <v>6.92</v>
      </c>
      <c r="T10" s="18" t="n">
        <v>30.37</v>
      </c>
      <c r="U10" s="18" t="n">
        <v>38.52</v>
      </c>
      <c r="V10" s="18" t="n">
        <v>30.53</v>
      </c>
      <c r="W10" s="18" t="n">
        <v>38.72</v>
      </c>
      <c r="X10" s="18" t="n">
        <v>0.33</v>
      </c>
      <c r="Y10" s="18" t="n">
        <v>0.42</v>
      </c>
      <c r="Z10" s="18" t="n">
        <v>0.51</v>
      </c>
      <c r="AA10" s="18" t="n"/>
      <c r="AB10" s="18" t="n"/>
      <c r="AC10" s="28" t="n">
        <v>55</v>
      </c>
      <c r="AD10" s="18" t="n">
        <v>100</v>
      </c>
      <c r="AE10" s="18" t="n">
        <v>98</v>
      </c>
      <c r="AF10" s="18" t="n">
        <v>81</v>
      </c>
      <c r="AG10" s="18" t="n">
        <v>19</v>
      </c>
    </row>
    <row r="11">
      <c r="A11" s="11">
        <f>EOMONTH(G11,-1)+1</f>
        <v/>
      </c>
      <c r="B11" s="12" t="inlineStr">
        <is>
          <t>Lot 24</t>
        </is>
      </c>
      <c r="C11" s="12" t="inlineStr">
        <is>
          <t>PT DEMO SUPPLIER 4</t>
        </is>
      </c>
      <c r="D11" s="12" t="inlineStr">
        <is>
          <t>DUMP TRUCK</t>
        </is>
      </c>
      <c r="E11" s="12" t="inlineStr">
        <is>
          <t>DUMP TRUCK</t>
        </is>
      </c>
      <c r="F11" s="125" t="n">
        <v>44072</v>
      </c>
      <c r="G11" s="125" t="n">
        <v>44076.66666666666</v>
      </c>
      <c r="H11" s="126" t="n">
        <v>5150.17</v>
      </c>
      <c r="I11" s="15" t="inlineStr">
        <is>
          <t>COA-DEMO-0010</t>
        </is>
      </c>
      <c r="J11" s="129" t="n">
        <v>44067</v>
      </c>
      <c r="K11" s="12" t="inlineStr">
        <is>
          <t>PT GEOSERVICES</t>
        </is>
      </c>
      <c r="L11" s="26" t="n">
        <v>4243</v>
      </c>
      <c r="M11" s="26" t="n"/>
      <c r="N11" s="130" t="n"/>
      <c r="O11" s="18" t="n">
        <v>34.91</v>
      </c>
      <c r="P11" s="18" t="n">
        <v>11.74</v>
      </c>
      <c r="Q11" s="18" t="n">
        <v>5.77</v>
      </c>
      <c r="R11" s="18" t="n">
        <v>7.83</v>
      </c>
      <c r="S11" s="18" t="n"/>
      <c r="T11" s="18" t="n">
        <v>28.74</v>
      </c>
      <c r="U11" s="18" t="n">
        <v>38.97</v>
      </c>
      <c r="V11" s="18" t="n">
        <v>30.58</v>
      </c>
      <c r="W11" s="18" t="n">
        <v>41.46</v>
      </c>
      <c r="X11" s="18" t="n">
        <v>0.3</v>
      </c>
      <c r="Y11" s="18" t="n">
        <v>0.41</v>
      </c>
      <c r="Z11" s="18" t="n"/>
      <c r="AA11" s="18" t="n"/>
      <c r="AB11" s="18" t="n"/>
      <c r="AC11" s="28" t="n">
        <v>50</v>
      </c>
      <c r="AD11" s="18" t="n"/>
      <c r="AE11" s="18" t="n"/>
      <c r="AF11" s="18" t="n"/>
      <c r="AG11" s="18" t="n"/>
    </row>
    <row r="12">
      <c r="A12" s="11">
        <f>EOMONTH(G12,-1)+1</f>
        <v/>
      </c>
      <c r="B12" s="12" t="n">
        <v>564</v>
      </c>
      <c r="C12" s="12" t="inlineStr">
        <is>
          <t>PT DEMO SUPPLIER 3</t>
        </is>
      </c>
      <c r="D12" s="12" t="inlineStr">
        <is>
          <t>TANJUNG BAHARI 19</t>
        </is>
      </c>
      <c r="E12" s="12" t="inlineStr">
        <is>
          <t>BAHARI 2711</t>
        </is>
      </c>
      <c r="F12" s="125" t="n">
        <v>44077.11805555555</v>
      </c>
      <c r="G12" s="125" t="n">
        <v>44078.52777777778</v>
      </c>
      <c r="H12" s="126" t="n">
        <v>5833.369</v>
      </c>
      <c r="I12" s="128" t="inlineStr">
        <is>
          <t>COA-DEMO-0011</t>
        </is>
      </c>
      <c r="J12" s="129" t="n">
        <v>44074</v>
      </c>
      <c r="K12" s="16" t="inlineStr">
        <is>
          <t>PT SURVEYOR INDONESIA</t>
        </is>
      </c>
      <c r="L12" s="26" t="n">
        <v>4256</v>
      </c>
      <c r="M12" s="26" t="n"/>
      <c r="N12" s="130" t="n">
        <v>6498</v>
      </c>
      <c r="O12" s="18" t="n">
        <v>34.51</v>
      </c>
      <c r="P12" s="18" t="n">
        <v>16.96</v>
      </c>
      <c r="Q12" s="18" t="n">
        <v>4.93</v>
      </c>
      <c r="R12" s="18" t="n">
        <v>6.25</v>
      </c>
      <c r="S12" s="18" t="n">
        <v>7.53</v>
      </c>
      <c r="T12" s="18" t="n">
        <v>31.44</v>
      </c>
      <c r="U12" s="18" t="n">
        <v>39.87</v>
      </c>
      <c r="V12" s="18" t="n">
        <v>29.12</v>
      </c>
      <c r="W12" s="18" t="n">
        <v>36.92</v>
      </c>
      <c r="X12" s="18" t="n">
        <v>0.28</v>
      </c>
      <c r="Y12" s="18" t="n">
        <v>0.35</v>
      </c>
      <c r="Z12" s="18" t="n">
        <v>0.42</v>
      </c>
      <c r="AA12" s="18" t="n"/>
      <c r="AB12" s="18" t="n"/>
      <c r="AC12" s="28" t="n">
        <v>56</v>
      </c>
      <c r="AD12" s="18" t="n">
        <v>99</v>
      </c>
      <c r="AE12" s="18" t="n">
        <v>98</v>
      </c>
      <c r="AF12" s="18" t="n">
        <v>79</v>
      </c>
      <c r="AG12" s="18" t="n">
        <v>19</v>
      </c>
    </row>
    <row r="13">
      <c r="A13" s="11">
        <f>EOMONTH(G13,-1)+1</f>
        <v/>
      </c>
      <c r="B13" s="12" t="n">
        <v>565</v>
      </c>
      <c r="C13" s="12" t="inlineStr">
        <is>
          <t>PT DEMO SUPPLIER 2</t>
        </is>
      </c>
      <c r="D13" s="12" t="inlineStr">
        <is>
          <t>CAPRICORN 42</t>
        </is>
      </c>
      <c r="E13" s="12" t="inlineStr">
        <is>
          <t>CAPRICORN 43</t>
        </is>
      </c>
      <c r="F13" s="125" t="n">
        <v>44079.53472222222</v>
      </c>
      <c r="G13" s="125" t="n">
        <v>44080.61111111111</v>
      </c>
      <c r="H13" s="126" t="n">
        <v>5250.445</v>
      </c>
      <c r="I13" s="128" t="inlineStr">
        <is>
          <t>COA-DEMO-0012</t>
        </is>
      </c>
      <c r="J13" s="129" t="n">
        <v>44076</v>
      </c>
      <c r="K13" s="16" t="inlineStr">
        <is>
          <t>PT SUCOFINDO</t>
        </is>
      </c>
      <c r="L13" s="26" t="n">
        <v>4225</v>
      </c>
      <c r="M13" s="26" t="n"/>
      <c r="N13" s="130" t="n">
        <v>6470</v>
      </c>
      <c r="O13" s="18" t="n">
        <v>34.7</v>
      </c>
      <c r="P13" s="18" t="n">
        <v>13.97</v>
      </c>
      <c r="Q13" s="18" t="n">
        <v>4.37</v>
      </c>
      <c r="R13" s="18" t="n">
        <v>5.76</v>
      </c>
      <c r="S13" s="18" t="n">
        <v>6.7</v>
      </c>
      <c r="T13" s="18" t="n">
        <v>30.82</v>
      </c>
      <c r="U13" s="18" t="n">
        <v>40.6</v>
      </c>
      <c r="V13" s="18" t="n">
        <v>30.11</v>
      </c>
      <c r="W13" s="18" t="n">
        <v>39.66</v>
      </c>
      <c r="X13" s="18" t="n">
        <v>0.25</v>
      </c>
      <c r="Y13" s="18" t="n">
        <v>0.33</v>
      </c>
      <c r="Z13" s="18" t="n">
        <v>0.38</v>
      </c>
      <c r="AA13" s="18" t="n"/>
      <c r="AB13" s="18" t="n"/>
      <c r="AC13" s="28" t="n">
        <v>57</v>
      </c>
      <c r="AD13" s="18" t="n">
        <v>98.03</v>
      </c>
      <c r="AE13" s="18" t="n">
        <v>96.09</v>
      </c>
      <c r="AF13" s="18" t="inlineStr">
        <is>
          <t>-</t>
        </is>
      </c>
      <c r="AG13" s="18" t="inlineStr">
        <is>
          <t>17.67</t>
        </is>
      </c>
    </row>
    <row r="14">
      <c r="A14" s="11">
        <f>EOMONTH(G14,-1)+1</f>
        <v/>
      </c>
      <c r="B14" s="12" t="n">
        <v>566</v>
      </c>
      <c r="C14" s="12" t="inlineStr">
        <is>
          <t>PT DEMO SUPPLIER 2</t>
        </is>
      </c>
      <c r="D14" s="12" t="inlineStr">
        <is>
          <t>CILIANDRA</t>
        </is>
      </c>
      <c r="E14" s="12" t="inlineStr">
        <is>
          <t>TANJUNG GEMILANG 250</t>
        </is>
      </c>
      <c r="F14" s="125" t="n">
        <v>44082.61458333334</v>
      </c>
      <c r="G14" s="125" t="n">
        <v>44083.64583333334</v>
      </c>
      <c r="H14" s="126" t="n">
        <v>5429.326</v>
      </c>
      <c r="I14" s="128" t="inlineStr">
        <is>
          <t>COA-DEMO-0013</t>
        </is>
      </c>
      <c r="J14" s="129" t="n">
        <v>44081</v>
      </c>
      <c r="K14" s="16" t="inlineStr">
        <is>
          <t>PT SUCOFINDO</t>
        </is>
      </c>
      <c r="L14" s="26" t="n">
        <v>4214</v>
      </c>
      <c r="M14" s="26" t="n"/>
      <c r="N14" s="130" t="n">
        <v>6411</v>
      </c>
      <c r="O14" s="18" t="n">
        <v>34.26</v>
      </c>
      <c r="P14" s="18" t="n">
        <v>15.22</v>
      </c>
      <c r="Q14" s="18" t="n">
        <v>4.32</v>
      </c>
      <c r="R14" s="18" t="n">
        <v>5.57</v>
      </c>
      <c r="S14" s="18" t="n">
        <v>6.58</v>
      </c>
      <c r="T14" s="18" t="n">
        <v>30.87</v>
      </c>
      <c r="U14" s="18" t="n">
        <v>39.81</v>
      </c>
      <c r="V14" s="18" t="n">
        <v>30.55</v>
      </c>
      <c r="W14" s="18" t="n">
        <v>39.39</v>
      </c>
      <c r="X14" s="18" t="n">
        <v>0.27</v>
      </c>
      <c r="Y14" s="18" t="n">
        <v>0.34</v>
      </c>
      <c r="Z14" s="18" t="n">
        <v>0.4</v>
      </c>
      <c r="AA14" s="18" t="n"/>
      <c r="AB14" s="18" t="n"/>
      <c r="AC14" s="28" t="n">
        <v>59</v>
      </c>
      <c r="AD14" s="18" t="n">
        <v>98.09999999999999</v>
      </c>
      <c r="AE14" s="18" t="n">
        <v>96.19</v>
      </c>
      <c r="AF14" s="18" t="inlineStr">
        <is>
          <t>-</t>
        </is>
      </c>
      <c r="AG14" s="18" t="n">
        <v>15.64</v>
      </c>
    </row>
    <row r="15">
      <c r="A15" s="11">
        <f>EOMONTH(G15,-1)+1</f>
        <v/>
      </c>
      <c r="B15" s="12" t="n">
        <v>567</v>
      </c>
      <c r="C15" s="12" t="inlineStr">
        <is>
          <t>PT DEMO SUPPLIER 3</t>
        </is>
      </c>
      <c r="D15" s="12" t="inlineStr">
        <is>
          <t>BOJOMA 01</t>
        </is>
      </c>
      <c r="E15" s="12" t="inlineStr">
        <is>
          <t>FLY POWER 2705</t>
        </is>
      </c>
      <c r="F15" s="125" t="n">
        <v>44083.71875</v>
      </c>
      <c r="G15" s="125" t="n">
        <v>44084.90625</v>
      </c>
      <c r="H15" s="126" t="n">
        <v>5448.062</v>
      </c>
      <c r="I15" s="128" t="inlineStr">
        <is>
          <t>COA-DEMO-0014</t>
        </is>
      </c>
      <c r="J15" s="129" t="n">
        <v>44082</v>
      </c>
      <c r="K15" s="16" t="inlineStr">
        <is>
          <t>PT SURVEYOR INDONESIA</t>
        </is>
      </c>
      <c r="L15" s="26" t="n">
        <v>4243</v>
      </c>
      <c r="M15" s="26" t="n"/>
      <c r="N15" s="130" t="n">
        <v>6474</v>
      </c>
      <c r="O15" s="18" t="n">
        <v>34.46</v>
      </c>
      <c r="P15" s="18" t="n">
        <v>18.29</v>
      </c>
      <c r="Q15" s="18" t="n">
        <v>3.6</v>
      </c>
      <c r="R15" s="18" t="n">
        <v>4.49</v>
      </c>
      <c r="S15" s="18" t="n">
        <v>5.5</v>
      </c>
      <c r="T15" s="18" t="n">
        <v>34.67</v>
      </c>
      <c r="U15" s="18" t="n">
        <v>43.22</v>
      </c>
      <c r="V15" s="18" t="n">
        <v>27.27</v>
      </c>
      <c r="W15" s="18" t="n">
        <v>34</v>
      </c>
      <c r="X15" s="18" t="n">
        <v>0.14</v>
      </c>
      <c r="Y15" s="18" t="n">
        <v>0.17</v>
      </c>
      <c r="Z15" s="18" t="n">
        <v>0.21</v>
      </c>
      <c r="AA15" s="18" t="n"/>
      <c r="AB15" s="18" t="n"/>
      <c r="AC15" s="28" t="n">
        <v>55</v>
      </c>
      <c r="AD15" s="18" t="n">
        <v>99</v>
      </c>
      <c r="AE15" s="18" t="n">
        <v>98</v>
      </c>
      <c r="AF15" s="18" t="n">
        <v>79</v>
      </c>
      <c r="AG15" s="18" t="n">
        <v>19</v>
      </c>
    </row>
    <row r="16">
      <c r="A16" s="11">
        <f>EOMONTH(G16,-1)+1</f>
        <v/>
      </c>
      <c r="B16" s="12" t="n">
        <v>568</v>
      </c>
      <c r="C16" s="12" t="inlineStr">
        <is>
          <t>PT DEMO SUPPLIER 5</t>
        </is>
      </c>
      <c r="D16" s="12" t="inlineStr">
        <is>
          <t>SINAR SEJAHTERA 128</t>
        </is>
      </c>
      <c r="E16" s="12" t="inlineStr">
        <is>
          <t>CAPRICORN 41</t>
        </is>
      </c>
      <c r="F16" s="125" t="n">
        <v>44087.75347222222</v>
      </c>
      <c r="G16" s="125" t="n">
        <v>44088.91666666666</v>
      </c>
      <c r="H16" s="126" t="n">
        <v>5461.143</v>
      </c>
      <c r="I16" s="128" t="inlineStr">
        <is>
          <t>COA-DEMO-0015</t>
        </is>
      </c>
      <c r="J16" s="129" t="n">
        <v>44085</v>
      </c>
      <c r="K16" s="16" t="inlineStr">
        <is>
          <t>PT SUCOFINDO</t>
        </is>
      </c>
      <c r="L16" s="26" t="n">
        <v>4240</v>
      </c>
      <c r="M16" s="26" t="n"/>
      <c r="N16" s="130" t="n"/>
      <c r="O16" s="18" t="n">
        <v>34.24</v>
      </c>
      <c r="P16" s="18" t="n">
        <v>13.62</v>
      </c>
      <c r="Q16" s="18" t="n">
        <v>4.23</v>
      </c>
      <c r="R16" s="18" t="n">
        <v>5.56</v>
      </c>
      <c r="S16" s="18" t="n"/>
      <c r="T16" s="18" t="n">
        <v>31.86</v>
      </c>
      <c r="U16" s="18" t="n">
        <v>41.85</v>
      </c>
      <c r="V16" s="18" t="n">
        <v>29.67</v>
      </c>
      <c r="W16" s="18" t="n">
        <v>38.97</v>
      </c>
      <c r="X16" s="18" t="n">
        <v>0.19</v>
      </c>
      <c r="Y16" s="18" t="n">
        <v>0.29</v>
      </c>
      <c r="Z16" s="18" t="n"/>
      <c r="AA16" s="18" t="n"/>
      <c r="AB16" s="18" t="n"/>
      <c r="AC16" s="28" t="n">
        <v>58</v>
      </c>
      <c r="AD16" s="18" t="n">
        <v>98</v>
      </c>
      <c r="AE16" s="18" t="n">
        <v>96</v>
      </c>
      <c r="AF16" s="18" t="n">
        <v>54</v>
      </c>
      <c r="AG16" s="18" t="n">
        <v>14</v>
      </c>
    </row>
    <row r="17">
      <c r="A17" s="11">
        <f>EOMONTH(G17,-1)+1</f>
        <v/>
      </c>
      <c r="B17" s="12" t="inlineStr">
        <is>
          <t>Lot 25</t>
        </is>
      </c>
      <c r="C17" s="12" t="inlineStr">
        <is>
          <t>PT DEMO SUPPLIER 4</t>
        </is>
      </c>
      <c r="D17" s="12" t="inlineStr">
        <is>
          <t>DUMP TRUCK</t>
        </is>
      </c>
      <c r="E17" s="12" t="inlineStr">
        <is>
          <t>DUMP TRUCK</t>
        </is>
      </c>
      <c r="F17" s="125" t="n">
        <v>44086.43680555555</v>
      </c>
      <c r="G17" s="125" t="n">
        <v>44090.59583333333</v>
      </c>
      <c r="H17" s="126" t="n">
        <v>5299.48</v>
      </c>
      <c r="I17" s="15" t="inlineStr">
        <is>
          <t>COA-DEMO-0016</t>
        </is>
      </c>
      <c r="J17" s="129" t="n">
        <v>44085</v>
      </c>
      <c r="K17" s="12" t="inlineStr">
        <is>
          <t>PT GEOSERVICES</t>
        </is>
      </c>
      <c r="L17" s="26" t="n">
        <v>4205</v>
      </c>
      <c r="M17" s="26" t="n"/>
      <c r="N17" s="130" t="n"/>
      <c r="O17" s="18" t="n">
        <v>35.56</v>
      </c>
      <c r="P17" s="18" t="n">
        <v>12.46</v>
      </c>
      <c r="Q17" s="18" t="n">
        <v>5.77</v>
      </c>
      <c r="R17" s="18" t="n">
        <v>7.84</v>
      </c>
      <c r="S17" s="18" t="n"/>
      <c r="T17" s="18" t="n">
        <v>28.36</v>
      </c>
      <c r="U17" s="18" t="n">
        <v>38.52</v>
      </c>
      <c r="V17" s="18" t="n">
        <v>30.31</v>
      </c>
      <c r="W17" s="18" t="n">
        <v>41.18</v>
      </c>
      <c r="X17" s="18" t="n">
        <v>0.35</v>
      </c>
      <c r="Y17" s="18" t="n">
        <v>0.47</v>
      </c>
      <c r="Z17" s="18" t="n"/>
      <c r="AA17" s="18" t="n"/>
      <c r="AB17" s="18" t="n"/>
      <c r="AC17" s="28" t="n">
        <v>52</v>
      </c>
      <c r="AD17" s="18" t="n"/>
      <c r="AE17" s="18" t="n"/>
      <c r="AF17" s="18" t="n"/>
      <c r="AG17" s="18" t="n"/>
    </row>
    <row r="18">
      <c r="A18" s="11">
        <f>EOMONTH(G18,-1)+1</f>
        <v/>
      </c>
      <c r="B18" s="12" t="n">
        <v>569</v>
      </c>
      <c r="C18" s="12" t="inlineStr">
        <is>
          <t>PT DEMO SUPPLIER 3</t>
        </is>
      </c>
      <c r="D18" s="12" t="inlineStr">
        <is>
          <t>TANJUNG BAHARI 19</t>
        </is>
      </c>
      <c r="E18" s="12" t="inlineStr">
        <is>
          <t>BAHARI 2711</t>
        </is>
      </c>
      <c r="F18" s="125" t="n">
        <v>44091.98263888889</v>
      </c>
      <c r="G18" s="125" t="n">
        <v>44093.33333333334</v>
      </c>
      <c r="H18" s="126" t="n">
        <v>5831.185</v>
      </c>
      <c r="I18" s="128" t="inlineStr">
        <is>
          <t>COA-DEMO-0017</t>
        </is>
      </c>
      <c r="J18" s="129" t="n">
        <v>44088</v>
      </c>
      <c r="K18" s="16" t="inlineStr">
        <is>
          <t>PT SURVEYOR INDONESIA</t>
        </is>
      </c>
      <c r="L18" s="26" t="n">
        <v>4252</v>
      </c>
      <c r="M18" s="26" t="n"/>
      <c r="N18" s="130" t="n"/>
      <c r="O18" s="18" t="n">
        <v>34.64</v>
      </c>
      <c r="P18" s="18" t="n">
        <v>17.45</v>
      </c>
      <c r="Q18" s="18" t="n">
        <v>4.47</v>
      </c>
      <c r="R18" s="18" t="n">
        <v>5.65</v>
      </c>
      <c r="S18" s="18" t="n"/>
      <c r="T18" s="18" t="n">
        <v>34.43</v>
      </c>
      <c r="U18" s="18" t="n">
        <v>43.49</v>
      </c>
      <c r="V18" s="18" t="n">
        <v>26.45</v>
      </c>
      <c r="W18" s="18" t="n">
        <v>33.41</v>
      </c>
      <c r="X18" s="18" t="n">
        <v>0.14</v>
      </c>
      <c r="Y18" s="18" t="n">
        <v>0.18</v>
      </c>
      <c r="Z18" s="18" t="n"/>
      <c r="AA18" s="18" t="n"/>
      <c r="AB18" s="18" t="n"/>
      <c r="AC18" s="28" t="n">
        <v>56</v>
      </c>
      <c r="AD18" s="18" t="n">
        <v>100</v>
      </c>
      <c r="AE18" s="18" t="n">
        <v>99</v>
      </c>
      <c r="AF18" s="18" t="n">
        <v>71</v>
      </c>
      <c r="AG18" s="18" t="n">
        <v>18</v>
      </c>
    </row>
    <row r="19">
      <c r="A19" s="11">
        <f>EOMONTH(G19,-1)+1</f>
        <v/>
      </c>
      <c r="B19" s="12" t="n">
        <v>570</v>
      </c>
      <c r="C19" s="12" t="inlineStr">
        <is>
          <t>PT DEMO SUPPLIER 5</t>
        </is>
      </c>
      <c r="D19" s="12" t="inlineStr">
        <is>
          <t>CAPRICORN 42</t>
        </is>
      </c>
      <c r="E19" s="12" t="inlineStr">
        <is>
          <t>CAPRICORN 43</t>
        </is>
      </c>
      <c r="F19" s="125" t="n">
        <v>44093.45138888889</v>
      </c>
      <c r="G19" s="125" t="n">
        <v>44094.44791666666</v>
      </c>
      <c r="H19" s="126" t="n">
        <v>5327.375</v>
      </c>
      <c r="I19" s="128" t="inlineStr">
        <is>
          <t>COA-DEMO-0018</t>
        </is>
      </c>
      <c r="J19" s="129" t="n">
        <v>44091</v>
      </c>
      <c r="K19" s="16" t="inlineStr">
        <is>
          <t>PT SUCOFINDO</t>
        </is>
      </c>
      <c r="L19" s="26" t="n">
        <v>4260</v>
      </c>
      <c r="M19" s="26" t="n"/>
      <c r="N19" s="130" t="n">
        <v>6435</v>
      </c>
      <c r="O19" s="18" t="n">
        <v>33.79</v>
      </c>
      <c r="P19" s="18" t="n">
        <v>14.92</v>
      </c>
      <c r="Q19" s="18" t="n">
        <v>3.94</v>
      </c>
      <c r="R19" s="18" t="n">
        <v>5.06</v>
      </c>
      <c r="S19" s="18" t="n">
        <v>5.95</v>
      </c>
      <c r="T19" s="18" t="n">
        <v>31.64</v>
      </c>
      <c r="U19" s="18" t="n">
        <v>40.66</v>
      </c>
      <c r="V19" s="18" t="n">
        <v>30.63</v>
      </c>
      <c r="W19" s="18" t="n">
        <v>39.37</v>
      </c>
      <c r="X19" s="18" t="n">
        <v>0.25</v>
      </c>
      <c r="Y19" s="18" t="n">
        <v>0.32</v>
      </c>
      <c r="Z19" s="18" t="n">
        <v>0.38</v>
      </c>
      <c r="AA19" s="18" t="n"/>
      <c r="AB19" s="18" t="n"/>
      <c r="AC19" s="28" t="n">
        <v>58</v>
      </c>
      <c r="AD19" s="18" t="n">
        <v>98</v>
      </c>
      <c r="AE19" s="18" t="n">
        <v>96</v>
      </c>
      <c r="AF19" s="18" t="n">
        <v>54</v>
      </c>
      <c r="AG19" s="18" t="n">
        <v>17</v>
      </c>
    </row>
    <row r="20">
      <c r="A20" s="11">
        <f>EOMONTH(G20,-1)+1</f>
        <v/>
      </c>
      <c r="B20" s="12" t="n">
        <v>571</v>
      </c>
      <c r="C20" s="12" t="inlineStr">
        <is>
          <t>PT DEMO SUPPLIER 5</t>
        </is>
      </c>
      <c r="D20" s="12" t="inlineStr">
        <is>
          <t>LL LOTTUS</t>
        </is>
      </c>
      <c r="E20" s="12" t="inlineStr">
        <is>
          <t>LL 2518</t>
        </is>
      </c>
      <c r="F20" s="125" t="n">
        <v>44094.98263888889</v>
      </c>
      <c r="G20" s="125" t="n">
        <v>44095.77430555555</v>
      </c>
      <c r="H20" s="126" t="n">
        <v>4079.918</v>
      </c>
      <c r="I20" s="128" t="inlineStr">
        <is>
          <t>COA-DEMO-0019</t>
        </is>
      </c>
      <c r="J20" s="129" t="n">
        <v>44095</v>
      </c>
      <c r="K20" s="16" t="inlineStr">
        <is>
          <t>PT SUCOFINDO</t>
        </is>
      </c>
      <c r="L20" s="26" t="n">
        <v>4226</v>
      </c>
      <c r="M20" s="26" t="n"/>
      <c r="N20" s="130" t="n">
        <v>6494</v>
      </c>
      <c r="O20" s="18" t="n">
        <v>34.92</v>
      </c>
      <c r="P20" s="18" t="n">
        <v>13.68</v>
      </c>
      <c r="Q20" s="18" t="n">
        <v>2.94</v>
      </c>
      <c r="R20" s="18" t="n">
        <v>3.9</v>
      </c>
      <c r="S20" s="18" t="n">
        <v>4.51</v>
      </c>
      <c r="T20" s="18" t="n">
        <v>32.48</v>
      </c>
      <c r="U20" s="18" t="n">
        <v>43.09</v>
      </c>
      <c r="V20" s="18" t="n">
        <v>29.65</v>
      </c>
      <c r="W20" s="18" t="n">
        <v>39.33</v>
      </c>
      <c r="X20" s="18" t="n">
        <v>0.2</v>
      </c>
      <c r="Y20" s="18" t="n">
        <v>0.26</v>
      </c>
      <c r="Z20" s="18" t="n">
        <v>0.3</v>
      </c>
      <c r="AA20" s="18" t="n"/>
      <c r="AB20" s="18" t="n"/>
      <c r="AC20" s="28" t="n">
        <v>59</v>
      </c>
      <c r="AD20" s="18" t="n">
        <v>98</v>
      </c>
      <c r="AE20" s="18" t="n">
        <v>96</v>
      </c>
      <c r="AF20" s="18" t="n">
        <v>54</v>
      </c>
      <c r="AG20" s="18" t="n">
        <v>17</v>
      </c>
    </row>
    <row r="21">
      <c r="A21" s="11">
        <f>EOMONTH(G21,-1)+1</f>
        <v/>
      </c>
      <c r="B21" s="12" t="n">
        <v>572</v>
      </c>
      <c r="C21" s="12" t="inlineStr">
        <is>
          <t>PT DEMO SUPPLIER 5</t>
        </is>
      </c>
      <c r="D21" s="12" t="inlineStr">
        <is>
          <t>LL LEXXUS 03</t>
        </is>
      </c>
      <c r="E21" s="12" t="inlineStr">
        <is>
          <t>SARAH 01</t>
        </is>
      </c>
      <c r="F21" s="125" t="n">
        <v>44097.64930555555</v>
      </c>
      <c r="G21" s="125" t="n">
        <v>44098.74305555555</v>
      </c>
      <c r="H21" s="126" t="n">
        <v>5462.792</v>
      </c>
      <c r="I21" s="128" t="inlineStr">
        <is>
          <t>COA-DEMO-0020</t>
        </is>
      </c>
      <c r="J21" s="129" t="n">
        <v>44096</v>
      </c>
      <c r="K21" s="16" t="inlineStr">
        <is>
          <t>PT SUCOFINDO</t>
        </is>
      </c>
      <c r="L21" s="26" t="n">
        <v>4223</v>
      </c>
      <c r="M21" s="26" t="n"/>
      <c r="N21" s="130" t="n">
        <v>6407</v>
      </c>
      <c r="O21" s="18" t="n">
        <v>34.09</v>
      </c>
      <c r="P21" s="18" t="n">
        <v>13.64</v>
      </c>
      <c r="Q21" s="18" t="n">
        <v>3.71</v>
      </c>
      <c r="R21" s="18" t="n">
        <v>4.86</v>
      </c>
      <c r="S21" s="18" t="n">
        <v>5.63</v>
      </c>
      <c r="T21" s="18" t="n">
        <v>32.3</v>
      </c>
      <c r="U21" s="18" t="n">
        <v>42.33</v>
      </c>
      <c r="V21" s="18" t="n">
        <v>29.9</v>
      </c>
      <c r="W21" s="18" t="n">
        <v>39.18</v>
      </c>
      <c r="X21" s="18" t="n">
        <v>0.15</v>
      </c>
      <c r="Y21" s="18" t="n">
        <v>0.19</v>
      </c>
      <c r="Z21" s="18" t="n">
        <v>0.22</v>
      </c>
      <c r="AA21" s="18" t="n"/>
      <c r="AB21" s="18" t="n"/>
      <c r="AC21" s="28" t="n">
        <v>59</v>
      </c>
      <c r="AD21" s="18" t="n">
        <v>98</v>
      </c>
      <c r="AE21" s="18" t="n">
        <v>96</v>
      </c>
      <c r="AF21" s="18" t="n">
        <v>54</v>
      </c>
      <c r="AG21" s="18" t="n">
        <v>17</v>
      </c>
    </row>
    <row r="22">
      <c r="A22" s="11">
        <f>EOMONTH(G22,-1)+1</f>
        <v/>
      </c>
      <c r="B22" s="12" t="n">
        <v>573</v>
      </c>
      <c r="C22" s="12" t="inlineStr">
        <is>
          <t>PT DEMO SUPPLIER 6</t>
        </is>
      </c>
      <c r="D22" s="12" t="inlineStr">
        <is>
          <t>MAJU DAYA 71</t>
        </is>
      </c>
      <c r="E22" s="12" t="inlineStr">
        <is>
          <t>MARCOPOLO 278</t>
        </is>
      </c>
      <c r="F22" s="125" t="n">
        <v>44098.88888888889</v>
      </c>
      <c r="G22" s="125" t="n">
        <v>44100.35416666666</v>
      </c>
      <c r="H22" s="126" t="n">
        <v>5601.292</v>
      </c>
      <c r="I22" s="128" t="inlineStr">
        <is>
          <t>COA-DEMO-0021</t>
        </is>
      </c>
      <c r="J22" s="129" t="n">
        <v>44096</v>
      </c>
      <c r="K22" s="16" t="inlineStr">
        <is>
          <t>PT SURVEYOR INDONESIA</t>
        </is>
      </c>
      <c r="L22" s="26" t="n">
        <v>4208</v>
      </c>
      <c r="M22" s="26" t="n"/>
      <c r="N22" s="130" t="n">
        <v>6427</v>
      </c>
      <c r="O22" s="18" t="n">
        <v>34.53</v>
      </c>
      <c r="P22" s="18" t="n">
        <v>19.53</v>
      </c>
      <c r="Q22" s="18" t="n">
        <v>4.33</v>
      </c>
      <c r="R22" s="18" t="n">
        <v>5.32</v>
      </c>
      <c r="S22" s="18" t="n">
        <v>6.61</v>
      </c>
      <c r="T22" s="18" t="n">
        <v>31.47</v>
      </c>
      <c r="U22" s="18" t="n">
        <v>38.68</v>
      </c>
      <c r="V22" s="18" t="n">
        <v>29.67</v>
      </c>
      <c r="W22" s="18" t="n">
        <v>36.47</v>
      </c>
      <c r="X22" s="18" t="n">
        <v>0.29</v>
      </c>
      <c r="Y22" s="18" t="n">
        <v>0.36</v>
      </c>
      <c r="Z22" s="18" t="n">
        <v>0.45</v>
      </c>
      <c r="AA22" s="18" t="n"/>
      <c r="AB22" s="18" t="n"/>
      <c r="AC22" s="28" t="n">
        <v>58</v>
      </c>
      <c r="AD22" s="18" t="n">
        <v>99</v>
      </c>
      <c r="AE22" s="18" t="n">
        <v>97</v>
      </c>
      <c r="AF22" s="18" t="n">
        <v>77</v>
      </c>
      <c r="AG22" s="18" t="n">
        <v>16</v>
      </c>
    </row>
    <row r="23">
      <c r="A23" s="11">
        <f>EOMONTH(G23,-1)+1</f>
        <v/>
      </c>
      <c r="B23" s="12" t="n">
        <v>574</v>
      </c>
      <c r="C23" s="12" t="inlineStr">
        <is>
          <t>PT DEMO SUPPLIER 5</t>
        </is>
      </c>
      <c r="D23" s="12" t="inlineStr">
        <is>
          <t>LL EAGLE 02</t>
        </is>
      </c>
      <c r="E23" s="12" t="inlineStr">
        <is>
          <t>LL 2717</t>
        </is>
      </c>
      <c r="F23" s="125" t="n">
        <v>44100.44097222222</v>
      </c>
      <c r="G23" s="125" t="n">
        <v>44101.79861111111</v>
      </c>
      <c r="H23" s="126" t="n">
        <v>5454.166</v>
      </c>
      <c r="I23" s="128" t="inlineStr">
        <is>
          <t>COA-DEMO-0022</t>
        </is>
      </c>
      <c r="J23" s="129" t="n">
        <v>44095</v>
      </c>
      <c r="K23" s="16" t="inlineStr">
        <is>
          <t>PT SUCOFINDO</t>
        </is>
      </c>
      <c r="L23" s="26" t="n">
        <v>4237</v>
      </c>
      <c r="M23" s="26" t="n"/>
      <c r="N23" s="130" t="n">
        <v>6433</v>
      </c>
      <c r="O23" s="18" t="n">
        <v>34.14</v>
      </c>
      <c r="P23" s="18" t="n">
        <v>14.49</v>
      </c>
      <c r="Q23" s="18" t="n">
        <v>3.66</v>
      </c>
      <c r="R23" s="18" t="n">
        <v>4.75</v>
      </c>
      <c r="S23" s="18" t="n">
        <v>5.56</v>
      </c>
      <c r="T23" s="18" t="n">
        <v>31.82</v>
      </c>
      <c r="U23" s="18" t="n">
        <v>41.32</v>
      </c>
      <c r="V23" s="18" t="n">
        <v>30.38</v>
      </c>
      <c r="W23" s="18" t="n">
        <v>39.44</v>
      </c>
      <c r="X23" s="18" t="n">
        <v>0.18</v>
      </c>
      <c r="Y23" s="18" t="n">
        <v>0.23</v>
      </c>
      <c r="Z23" s="18" t="n">
        <v>0.27</v>
      </c>
      <c r="AA23" s="18" t="n"/>
      <c r="AB23" s="18" t="n"/>
      <c r="AC23" s="28" t="n">
        <v>58</v>
      </c>
      <c r="AD23" s="18" t="n">
        <v>98</v>
      </c>
      <c r="AE23" s="18" t="n">
        <v>96</v>
      </c>
      <c r="AF23" s="18" t="n">
        <v>53</v>
      </c>
      <c r="AG23" s="18" t="n">
        <v>17</v>
      </c>
    </row>
    <row r="24">
      <c r="A24" s="11">
        <f>EOMONTH(G24,-1)+1</f>
        <v/>
      </c>
      <c r="B24" s="12" t="n">
        <v>575</v>
      </c>
      <c r="C24" s="12" t="inlineStr">
        <is>
          <t>PT DEMO SUPPLIER 7</t>
        </is>
      </c>
      <c r="D24" s="12" t="inlineStr">
        <is>
          <t>CILIANDRA</t>
        </is>
      </c>
      <c r="E24" s="12" t="inlineStr">
        <is>
          <t>TANJUNG GEMILANG 250</t>
        </is>
      </c>
      <c r="F24" s="125" t="n">
        <v>44099.38888888889</v>
      </c>
      <c r="G24" s="125" t="n">
        <v>44102.08333333334</v>
      </c>
      <c r="H24" s="126" t="n">
        <v>5649.804</v>
      </c>
      <c r="I24" s="128" t="inlineStr">
        <is>
          <t>COA-DEMO-0023</t>
        </is>
      </c>
      <c r="J24" s="129" t="n">
        <v>44097</v>
      </c>
      <c r="K24" s="16" t="inlineStr">
        <is>
          <t>PT SUCOFINDO</t>
        </is>
      </c>
      <c r="L24" s="26" t="n">
        <v>4108</v>
      </c>
      <c r="M24" s="26" t="n"/>
      <c r="N24" s="130" t="n">
        <v>6027</v>
      </c>
      <c r="O24" s="18" t="n">
        <v>31.85</v>
      </c>
      <c r="P24" s="18" t="n">
        <v>16.72</v>
      </c>
      <c r="Q24" s="18" t="n">
        <v>5.17</v>
      </c>
      <c r="R24" s="18" t="n">
        <v>6.32</v>
      </c>
      <c r="S24" s="18" t="n">
        <v>7.59</v>
      </c>
      <c r="T24" s="18" t="n">
        <v>27.87</v>
      </c>
      <c r="U24" s="18" t="n">
        <v>34.05</v>
      </c>
      <c r="V24" s="18" t="n">
        <v>35.12</v>
      </c>
      <c r="W24" s="18" t="n">
        <v>42.91</v>
      </c>
      <c r="X24" s="18" t="n">
        <v>0.18</v>
      </c>
      <c r="Y24" s="18" t="n">
        <v>0.22</v>
      </c>
      <c r="Z24" s="18" t="n">
        <v>0.26</v>
      </c>
      <c r="AA24" s="18" t="n"/>
      <c r="AB24" s="18" t="n"/>
      <c r="AC24" s="28" t="n">
        <v>59</v>
      </c>
      <c r="AD24" s="18" t="n">
        <v>98.06</v>
      </c>
      <c r="AE24" s="18" t="n">
        <v>96.01000000000001</v>
      </c>
      <c r="AF24" s="18" t="inlineStr">
        <is>
          <t>-</t>
        </is>
      </c>
      <c r="AG24" s="18" t="n">
        <v>16.17</v>
      </c>
    </row>
    <row r="25">
      <c r="A25" s="11">
        <f>EOMONTH(G25,-1)+1</f>
        <v/>
      </c>
      <c r="B25" s="12" t="n">
        <v>576</v>
      </c>
      <c r="C25" s="12" t="inlineStr">
        <is>
          <t>PT DEMO SUPPLIER 8</t>
        </is>
      </c>
      <c r="D25" s="12" t="inlineStr">
        <is>
          <t>MEGA DAYA 21</t>
        </is>
      </c>
      <c r="E25" s="12" t="inlineStr">
        <is>
          <t>MARCOPOLO 2528</t>
        </is>
      </c>
      <c r="F25" s="125" t="n">
        <v>44101.90625</v>
      </c>
      <c r="G25" s="125" t="n">
        <v>44103.22569444445</v>
      </c>
      <c r="H25" s="126" t="n">
        <v>5304.078</v>
      </c>
      <c r="I25" s="128" t="inlineStr">
        <is>
          <t>COA-DEMO-0024</t>
        </is>
      </c>
      <c r="J25" s="129" t="n">
        <v>44096</v>
      </c>
      <c r="K25" s="16" t="inlineStr">
        <is>
          <t>PT SUCOFINDO</t>
        </is>
      </c>
      <c r="L25" s="26" t="n">
        <v>4275</v>
      </c>
      <c r="M25" s="26" t="n"/>
      <c r="N25" s="130" t="n">
        <v>6441</v>
      </c>
      <c r="O25" s="18" t="n">
        <v>33.64</v>
      </c>
      <c r="P25" s="18" t="n">
        <v>13.37</v>
      </c>
      <c r="Q25" s="18" t="n">
        <v>3.43</v>
      </c>
      <c r="R25" s="18" t="n">
        <v>4.48</v>
      </c>
      <c r="S25" s="18" t="n">
        <v>5.18</v>
      </c>
      <c r="T25" s="18" t="n">
        <v>32.01</v>
      </c>
      <c r="U25" s="18" t="n">
        <v>41.78</v>
      </c>
      <c r="V25" s="18" t="n">
        <v>30.92</v>
      </c>
      <c r="W25" s="18" t="n">
        <v>40.36</v>
      </c>
      <c r="X25" s="18" t="n">
        <v>0.16</v>
      </c>
      <c r="Y25" s="18" t="n">
        <v>0.21</v>
      </c>
      <c r="Z25" s="18" t="n">
        <v>0.24</v>
      </c>
      <c r="AA25" s="18" t="n"/>
      <c r="AB25" s="18" t="n"/>
      <c r="AC25" s="28" t="n">
        <v>56</v>
      </c>
      <c r="AD25" s="18" t="n">
        <v>98.04000000000001</v>
      </c>
      <c r="AE25" s="18" t="n">
        <v>96.02</v>
      </c>
      <c r="AF25" s="18" t="inlineStr">
        <is>
          <t>-</t>
        </is>
      </c>
      <c r="AG25" s="18" t="n">
        <v>18.18</v>
      </c>
    </row>
    <row r="26">
      <c r="A26" s="11">
        <f>EOMONTH(G26,-1)+1</f>
        <v/>
      </c>
      <c r="B26" s="12" t="n">
        <v>577</v>
      </c>
      <c r="C26" s="12" t="inlineStr">
        <is>
          <t>PT DEMO SUPPLIER 3</t>
        </is>
      </c>
      <c r="D26" s="12" t="inlineStr">
        <is>
          <t>TANJUNG BAHARI 17</t>
        </is>
      </c>
      <c r="E26" s="12" t="inlineStr">
        <is>
          <t>BAHARI 2589</t>
        </is>
      </c>
      <c r="F26" s="125" t="n">
        <v>44102.40625</v>
      </c>
      <c r="G26" s="125" t="n">
        <v>44104.17361111111</v>
      </c>
      <c r="H26" s="126" t="n">
        <v>5092.094</v>
      </c>
      <c r="I26" s="128" t="inlineStr">
        <is>
          <t>COA-DEMO-0025</t>
        </is>
      </c>
      <c r="J26" s="129" t="n">
        <v>44096</v>
      </c>
      <c r="K26" s="16" t="inlineStr">
        <is>
          <t>PT SURVEYOR INDONESIA</t>
        </is>
      </c>
      <c r="L26" s="26" t="n">
        <v>4260</v>
      </c>
      <c r="M26" s="26" t="n"/>
      <c r="N26" s="130" t="n">
        <v>6511</v>
      </c>
      <c r="O26" s="18" t="n">
        <v>34.57</v>
      </c>
      <c r="P26" s="18" t="n">
        <v>17.13</v>
      </c>
      <c r="Q26" s="18" t="n">
        <v>4.89</v>
      </c>
      <c r="R26" s="18" t="n">
        <v>6.19</v>
      </c>
      <c r="S26" s="18" t="n">
        <v>7.47</v>
      </c>
      <c r="T26" s="18" t="n">
        <v>29.99</v>
      </c>
      <c r="U26" s="18" t="n">
        <v>37.98</v>
      </c>
      <c r="V26" s="18" t="n">
        <v>30.56</v>
      </c>
      <c r="W26" s="18" t="n">
        <v>38.7</v>
      </c>
      <c r="X26" s="18" t="n">
        <v>0.26</v>
      </c>
      <c r="Y26" s="18" t="n">
        <v>0.33</v>
      </c>
      <c r="Z26" s="18" t="n">
        <v>0.4</v>
      </c>
      <c r="AA26" s="18" t="n"/>
      <c r="AB26" s="18" t="n"/>
      <c r="AC26" s="28" t="n">
        <v>56</v>
      </c>
      <c r="AD26" s="18" t="n">
        <v>100</v>
      </c>
      <c r="AE26" s="18" t="n">
        <v>98</v>
      </c>
      <c r="AF26" s="18" t="n">
        <v>79</v>
      </c>
      <c r="AG26" s="18" t="n">
        <v>19</v>
      </c>
    </row>
    <row r="27">
      <c r="A27" s="11">
        <f>EOMONTH(G27,-1)+1</f>
        <v/>
      </c>
      <c r="B27" s="12" t="inlineStr">
        <is>
          <t>Lot 26</t>
        </is>
      </c>
      <c r="C27" s="12" t="inlineStr">
        <is>
          <t>PT DEMO SUPPLIER 4</t>
        </is>
      </c>
      <c r="D27" s="12" t="inlineStr">
        <is>
          <t>DUMP TRUCK</t>
        </is>
      </c>
      <c r="E27" s="12" t="inlineStr">
        <is>
          <t>DUMP TRUCK</t>
        </is>
      </c>
      <c r="F27" s="125" t="n">
        <v>44092.45138888889</v>
      </c>
      <c r="G27" s="125" t="n">
        <v>44103.71597222222</v>
      </c>
      <c r="H27" s="126" t="n">
        <v>5093.33</v>
      </c>
      <c r="I27" s="15" t="inlineStr">
        <is>
          <t>COA-DEMO-0026</t>
        </is>
      </c>
      <c r="J27" s="129" t="n">
        <v>44095</v>
      </c>
      <c r="K27" s="12" t="inlineStr">
        <is>
          <t>PT GEOSERVICES</t>
        </is>
      </c>
      <c r="L27" s="26" t="n">
        <v>4209</v>
      </c>
      <c r="M27" s="26" t="n"/>
      <c r="N27" s="130" t="n"/>
      <c r="O27" s="18" t="n">
        <v>37.42</v>
      </c>
      <c r="P27" s="18" t="n">
        <v>12.1</v>
      </c>
      <c r="Q27" s="18" t="n">
        <v>5.4</v>
      </c>
      <c r="R27" s="18" t="n">
        <v>7.59</v>
      </c>
      <c r="S27" s="18" t="n"/>
      <c r="T27" s="18" t="n">
        <v>27.92</v>
      </c>
      <c r="U27" s="18" t="n">
        <v>39.21</v>
      </c>
      <c r="V27" s="18" t="n">
        <v>29.26</v>
      </c>
      <c r="W27" s="18" t="n">
        <v>41.1</v>
      </c>
      <c r="X27" s="18" t="n">
        <v>0.33</v>
      </c>
      <c r="Y27" s="18" t="n">
        <v>0.47</v>
      </c>
      <c r="Z27" s="18" t="n"/>
      <c r="AA27" s="18" t="n"/>
      <c r="AB27" s="18" t="n"/>
      <c r="AC27" s="28" t="n">
        <v>50</v>
      </c>
      <c r="AD27" s="18" t="n"/>
      <c r="AE27" s="18" t="n"/>
      <c r="AF27" s="18" t="n"/>
      <c r="AG27" s="18" t="n"/>
    </row>
    <row r="28">
      <c r="A28" s="11">
        <f>EOMONTH(G28,-1)+1</f>
        <v/>
      </c>
      <c r="B28" s="12" t="n">
        <v>578</v>
      </c>
      <c r="C28" s="12" t="inlineStr">
        <is>
          <t>PT DEMO SUPPLIER 5</t>
        </is>
      </c>
      <c r="D28" s="12" t="inlineStr">
        <is>
          <t>SINAR SEJAHTERA 128</t>
        </is>
      </c>
      <c r="E28" s="12" t="inlineStr">
        <is>
          <t>CAPRICORN 41</t>
        </is>
      </c>
      <c r="F28" s="125" t="n">
        <v>44103.30902777778</v>
      </c>
      <c r="G28" s="125" t="n">
        <v>44104.82638888889</v>
      </c>
      <c r="H28" s="126" t="n">
        <v>5414.803</v>
      </c>
      <c r="I28" s="128" t="inlineStr">
        <is>
          <t>COA-DEMO-0027</t>
        </is>
      </c>
      <c r="J28" s="129" t="n">
        <v>44099</v>
      </c>
      <c r="K28" s="16" t="inlineStr">
        <is>
          <t>PT SUCOFINDO</t>
        </is>
      </c>
      <c r="L28" s="26" t="n">
        <v>4210</v>
      </c>
      <c r="M28" s="26" t="n"/>
      <c r="N28" s="130" t="n">
        <v>6396</v>
      </c>
      <c r="O28" s="18" t="n">
        <v>34.17</v>
      </c>
      <c r="P28" s="18" t="n">
        <v>14.66</v>
      </c>
      <c r="Q28" s="18" t="n">
        <v>4.07</v>
      </c>
      <c r="R28" s="18" t="n">
        <v>5.27</v>
      </c>
      <c r="S28" s="18" t="n">
        <v>6.18</v>
      </c>
      <c r="T28" s="18" t="n">
        <v>31.95</v>
      </c>
      <c r="U28" s="18" t="n">
        <v>41.42</v>
      </c>
      <c r="V28" s="18" t="n">
        <v>29.81</v>
      </c>
      <c r="W28" s="18" t="n">
        <v>38.65</v>
      </c>
      <c r="X28" s="18" t="n">
        <v>0.15</v>
      </c>
      <c r="Y28" s="18" t="n">
        <v>0.19</v>
      </c>
      <c r="Z28" s="18" t="n">
        <v>0.22</v>
      </c>
      <c r="AA28" s="18" t="n"/>
      <c r="AB28" s="18" t="n"/>
      <c r="AC28" s="28" t="n">
        <v>58</v>
      </c>
      <c r="AD28" s="18" t="n">
        <v>98</v>
      </c>
      <c r="AE28" s="18" t="n">
        <v>96</v>
      </c>
      <c r="AF28" s="18" t="n">
        <v>56</v>
      </c>
      <c r="AG28" s="18" t="n">
        <v>16</v>
      </c>
    </row>
    <row r="29">
      <c r="A29" s="11">
        <f>EOMONTH(G29,-1)+1</f>
        <v/>
      </c>
      <c r="B29" s="12" t="n">
        <v>579</v>
      </c>
      <c r="C29" s="12" t="inlineStr">
        <is>
          <t>PT DEMO SUPPLIER 5</t>
        </is>
      </c>
      <c r="D29" s="12" t="inlineStr">
        <is>
          <t>LL MASERATII 03</t>
        </is>
      </c>
      <c r="E29" s="12" t="inlineStr">
        <is>
          <t>LL 2712</t>
        </is>
      </c>
      <c r="F29" s="125" t="n">
        <v>44104.70833333334</v>
      </c>
      <c r="G29" s="125" t="n">
        <v>44107.47222222222</v>
      </c>
      <c r="H29" s="126" t="n">
        <v>5400.779</v>
      </c>
      <c r="I29" s="128" t="inlineStr">
        <is>
          <t>COA-DEMO-0028</t>
        </is>
      </c>
      <c r="J29" s="129" t="n">
        <v>44098</v>
      </c>
      <c r="K29" s="16" t="inlineStr">
        <is>
          <t>PT SUCOFINDO</t>
        </is>
      </c>
      <c r="L29" s="26" t="n">
        <v>4216</v>
      </c>
      <c r="M29" s="26" t="n"/>
      <c r="N29" s="130" t="n">
        <v>6403</v>
      </c>
      <c r="O29" s="18" t="n">
        <v>34.16</v>
      </c>
      <c r="P29" s="18" t="n">
        <v>15.18</v>
      </c>
      <c r="Q29" s="18" t="n">
        <v>4.21</v>
      </c>
      <c r="R29" s="18" t="n">
        <v>5.43</v>
      </c>
      <c r="S29" s="18" t="n">
        <v>6.4</v>
      </c>
      <c r="T29" s="18" t="n">
        <v>31.77</v>
      </c>
      <c r="U29" s="18" t="n">
        <v>40.93</v>
      </c>
      <c r="V29" s="18" t="n">
        <v>29.85</v>
      </c>
      <c r="W29" s="18" t="n">
        <v>38.46</v>
      </c>
      <c r="X29" s="18" t="n">
        <v>0.16</v>
      </c>
      <c r="Y29" s="18" t="n">
        <v>0.21</v>
      </c>
      <c r="Z29" s="18" t="n">
        <v>0.24</v>
      </c>
      <c r="AA29" s="18" t="n"/>
      <c r="AB29" s="18" t="n"/>
      <c r="AC29" s="28" t="n">
        <v>59</v>
      </c>
      <c r="AD29" s="18" t="n">
        <v>98</v>
      </c>
      <c r="AE29" s="18" t="n">
        <v>96</v>
      </c>
      <c r="AF29" s="18" t="n">
        <v>55</v>
      </c>
      <c r="AG29" s="18" t="n">
        <v>16</v>
      </c>
    </row>
    <row r="30">
      <c r="A30" s="11">
        <f>EOMONTH(G30,-1)+1</f>
        <v/>
      </c>
      <c r="B30" s="12" t="n">
        <v>580</v>
      </c>
      <c r="C30" s="12" t="inlineStr">
        <is>
          <t>PT DEMO SUPPLIER 5</t>
        </is>
      </c>
      <c r="D30" s="12" t="inlineStr">
        <is>
          <t>SOL 1008</t>
        </is>
      </c>
      <c r="E30" s="12" t="inlineStr">
        <is>
          <t>CAPRICORN 39</t>
        </is>
      </c>
      <c r="F30" s="125" t="n">
        <v>44104.89930555555</v>
      </c>
      <c r="G30" s="125" t="n">
        <v>44106.09375</v>
      </c>
      <c r="H30" s="126" t="n">
        <v>5421.937</v>
      </c>
      <c r="I30" s="128" t="inlineStr">
        <is>
          <t>COA-DEMO-0029</t>
        </is>
      </c>
      <c r="J30" s="129" t="n">
        <v>44102</v>
      </c>
      <c r="K30" s="16" t="inlineStr">
        <is>
          <t>PT SUCOFINDO</t>
        </is>
      </c>
      <c r="L30" s="26" t="n">
        <v>4217</v>
      </c>
      <c r="M30" s="26" t="n"/>
      <c r="N30" s="130" t="n">
        <v>6456</v>
      </c>
      <c r="O30" s="18" t="n">
        <v>34.67</v>
      </c>
      <c r="P30" s="18" t="n">
        <v>14.87</v>
      </c>
      <c r="Q30" s="18" t="n">
        <v>3.5</v>
      </c>
      <c r="R30" s="18" t="n">
        <v>4.56</v>
      </c>
      <c r="S30" s="18" t="n">
        <v>5.35</v>
      </c>
      <c r="T30" s="18" t="n">
        <v>31.23</v>
      </c>
      <c r="U30" s="18" t="n">
        <v>40.7</v>
      </c>
      <c r="V30" s="18" t="n">
        <v>30.6</v>
      </c>
      <c r="W30" s="18" t="n">
        <v>39.87</v>
      </c>
      <c r="X30" s="18" t="n">
        <v>0.15</v>
      </c>
      <c r="Y30" s="18" t="n">
        <v>0.2</v>
      </c>
      <c r="Z30" s="18" t="n">
        <v>0.24</v>
      </c>
      <c r="AA30" s="18" t="n"/>
      <c r="AB30" s="18" t="n"/>
      <c r="AC30" s="28" t="n">
        <v>59</v>
      </c>
      <c r="AD30" s="18" t="n">
        <v>98</v>
      </c>
      <c r="AE30" s="18" t="n">
        <v>96</v>
      </c>
      <c r="AF30" s="18" t="n">
        <v>54</v>
      </c>
      <c r="AG30" s="18" t="n">
        <v>16</v>
      </c>
    </row>
    <row r="31">
      <c r="A31" s="11">
        <f>EOMONTH(G31,-1)+1</f>
        <v/>
      </c>
      <c r="B31" s="12" t="n">
        <v>581</v>
      </c>
      <c r="C31" s="12" t="inlineStr">
        <is>
          <t>PT DEMO SUPPLIER 5</t>
        </is>
      </c>
      <c r="D31" s="12" t="inlineStr">
        <is>
          <t>CAPRICORN 42</t>
        </is>
      </c>
      <c r="E31" s="12" t="inlineStr">
        <is>
          <t>CAPRICORN 43</t>
        </is>
      </c>
      <c r="F31" s="125" t="n">
        <v>44106.17361111111</v>
      </c>
      <c r="G31" s="125" t="n">
        <v>44107.64583333334</v>
      </c>
      <c r="H31" s="126" t="n">
        <v>5408.553</v>
      </c>
      <c r="I31" s="128" t="inlineStr">
        <is>
          <t>COA-DEMO-0030</t>
        </is>
      </c>
      <c r="J31" s="129" t="n">
        <v>44103</v>
      </c>
      <c r="K31" s="16" t="inlineStr">
        <is>
          <t>PT SUCOFINDO</t>
        </is>
      </c>
      <c r="L31" s="26" t="n">
        <v>4207</v>
      </c>
      <c r="M31" s="26" t="n"/>
      <c r="N31" s="130" t="n">
        <v>6370</v>
      </c>
      <c r="O31" s="18" t="n">
        <v>33.95</v>
      </c>
      <c r="P31" s="18" t="n">
        <v>14.32</v>
      </c>
      <c r="Q31" s="18" t="n">
        <v>4.57</v>
      </c>
      <c r="R31" s="18" t="n">
        <v>5.93</v>
      </c>
      <c r="S31" s="18" t="n">
        <v>6.92</v>
      </c>
      <c r="T31" s="18" t="n">
        <v>30.94</v>
      </c>
      <c r="U31" s="18" t="n">
        <v>40.13</v>
      </c>
      <c r="V31" s="18" t="n">
        <v>30.54</v>
      </c>
      <c r="W31" s="18" t="n">
        <v>40.13</v>
      </c>
      <c r="X31" s="18" t="n">
        <v>0.18</v>
      </c>
      <c r="Y31" s="18" t="n">
        <v>0.24</v>
      </c>
      <c r="Z31" s="18" t="n">
        <v>0.28</v>
      </c>
      <c r="AA31" s="18" t="n"/>
      <c r="AB31" s="18" t="n"/>
      <c r="AC31" s="28" t="n">
        <v>58</v>
      </c>
      <c r="AD31" s="18" t="n">
        <v>98</v>
      </c>
      <c r="AE31" s="18" t="n">
        <v>96</v>
      </c>
      <c r="AF31" s="18" t="n">
        <v>57</v>
      </c>
      <c r="AG31" s="18" t="n">
        <v>16</v>
      </c>
    </row>
    <row r="32">
      <c r="A32" s="11">
        <f>EOMONTH(G32,-1)+1</f>
        <v/>
      </c>
      <c r="B32" s="12" t="n">
        <v>582</v>
      </c>
      <c r="C32" s="12" t="inlineStr">
        <is>
          <t>PT DEMO SUPPLIER 8</t>
        </is>
      </c>
      <c r="D32" s="12" t="inlineStr">
        <is>
          <t>MEGA DAYA 11</t>
        </is>
      </c>
      <c r="E32" s="12" t="inlineStr">
        <is>
          <t>NAP 2701</t>
        </is>
      </c>
      <c r="F32" s="125" t="n">
        <v>44107.74652777778</v>
      </c>
      <c r="G32" s="125" t="n">
        <v>44109.46180555555</v>
      </c>
      <c r="H32" s="126" t="n">
        <v>4944.969</v>
      </c>
      <c r="I32" s="128" t="inlineStr">
        <is>
          <t>COA-DEMO-0031</t>
        </is>
      </c>
      <c r="J32" s="129" t="n">
        <v>44102</v>
      </c>
      <c r="K32" s="16" t="inlineStr">
        <is>
          <t>PT SUCOFINDO</t>
        </is>
      </c>
      <c r="L32" s="26" t="n">
        <v>4253</v>
      </c>
      <c r="M32" s="26" t="n"/>
      <c r="N32" s="130" t="n">
        <v>6455</v>
      </c>
      <c r="O32" s="18" t="n">
        <v>34.11</v>
      </c>
      <c r="P32" s="18" t="n">
        <v>12.55</v>
      </c>
      <c r="Q32" s="18" t="n">
        <v>3.68</v>
      </c>
      <c r="R32" s="18" t="n">
        <v>4.88</v>
      </c>
      <c r="S32" s="18" t="n">
        <v>5.58</v>
      </c>
      <c r="T32" s="18" t="n">
        <v>31.72</v>
      </c>
      <c r="U32" s="18" t="n">
        <v>42.1</v>
      </c>
      <c r="V32" s="18" t="n">
        <v>30.49</v>
      </c>
      <c r="W32" s="18" t="n">
        <v>40.47</v>
      </c>
      <c r="X32" s="18" t="n">
        <v>0.2</v>
      </c>
      <c r="Y32" s="18" t="n">
        <v>0.26</v>
      </c>
      <c r="Z32" s="18" t="n">
        <v>0.3</v>
      </c>
      <c r="AA32" s="18" t="n"/>
      <c r="AB32" s="18" t="n"/>
      <c r="AC32" s="28" t="n">
        <v>56</v>
      </c>
      <c r="AD32" s="18" t="n">
        <v>98.09</v>
      </c>
      <c r="AE32" s="18" t="n">
        <v>96.09</v>
      </c>
      <c r="AF32" s="18" t="n"/>
      <c r="AG32" s="18" t="n">
        <v>16.24</v>
      </c>
    </row>
    <row r="33">
      <c r="A33" s="11">
        <f>EOMONTH(G33,-1)+1</f>
        <v/>
      </c>
      <c r="B33" s="12" t="n">
        <v>583</v>
      </c>
      <c r="C33" s="12" t="inlineStr">
        <is>
          <t>PT DEMO SUPPLIER 3</t>
        </is>
      </c>
      <c r="D33" s="12" t="inlineStr">
        <is>
          <t>TANJUNG BAHARI 19</t>
        </is>
      </c>
      <c r="E33" s="12" t="inlineStr">
        <is>
          <t>BAHARI 2711</t>
        </is>
      </c>
      <c r="F33" s="125" t="n">
        <v>44109.53472222222</v>
      </c>
      <c r="G33" s="125" t="n">
        <v>44110.88194444445</v>
      </c>
      <c r="H33" s="126" t="n">
        <v>5893.191</v>
      </c>
      <c r="I33" s="128" t="inlineStr">
        <is>
          <t>COA-DEMO-0032</t>
        </is>
      </c>
      <c r="J33" s="129" t="n">
        <v>44103</v>
      </c>
      <c r="K33" s="16" t="inlineStr">
        <is>
          <t>PT SURVEYOR INDONESIA</t>
        </is>
      </c>
      <c r="L33" s="26" t="n">
        <v>4252</v>
      </c>
      <c r="M33" s="26" t="n"/>
      <c r="N33" s="130" t="n">
        <v>6483</v>
      </c>
      <c r="O33" s="18" t="n">
        <v>34.41</v>
      </c>
      <c r="P33" s="18" t="n">
        <v>16.71</v>
      </c>
      <c r="Q33" s="18" t="n">
        <v>4.87</v>
      </c>
      <c r="R33" s="18" t="n">
        <v>6.18</v>
      </c>
      <c r="S33" s="18" t="n">
        <v>7.42</v>
      </c>
      <c r="T33" s="18" t="n">
        <v>31.25</v>
      </c>
      <c r="U33" s="18" t="n">
        <v>39.68</v>
      </c>
      <c r="V33" s="18" t="n">
        <v>29.48</v>
      </c>
      <c r="W33" s="18" t="n">
        <v>37.43</v>
      </c>
      <c r="X33" s="18" t="n">
        <v>0.25</v>
      </c>
      <c r="Y33" s="18" t="n">
        <v>0.32</v>
      </c>
      <c r="Z33" s="18" t="n">
        <v>0.38</v>
      </c>
      <c r="AA33" s="18" t="n"/>
      <c r="AB33" s="18" t="n"/>
      <c r="AC33" s="28" t="n">
        <v>56</v>
      </c>
      <c r="AD33" s="18" t="n">
        <v>99</v>
      </c>
      <c r="AE33" s="18" t="n">
        <v>98</v>
      </c>
      <c r="AF33" s="18" t="n">
        <v>79</v>
      </c>
      <c r="AG33" s="18" t="n">
        <v>19</v>
      </c>
    </row>
    <row r="34">
      <c r="A34" s="11">
        <f>EOMONTH(G34,-1)+1</f>
        <v/>
      </c>
      <c r="B34" s="12" t="n">
        <v>584</v>
      </c>
      <c r="C34" s="12" t="inlineStr">
        <is>
          <t>PT DEMO SUPPLIER 1</t>
        </is>
      </c>
      <c r="D34" s="12" t="inlineStr">
        <is>
          <t>LL LOTTUS 02</t>
        </is>
      </c>
      <c r="E34" s="12" t="inlineStr">
        <is>
          <t>CAPRICORN 71</t>
        </is>
      </c>
      <c r="F34" s="125" t="n">
        <v>44110.96180555555</v>
      </c>
      <c r="G34" s="125" t="n">
        <v>44112.03819444445</v>
      </c>
      <c r="H34" s="126" t="n">
        <v>5478.203</v>
      </c>
      <c r="I34" s="128" t="inlineStr">
        <is>
          <t>COA-DEMO-0033</t>
        </is>
      </c>
      <c r="J34" s="129" t="n">
        <v>44105</v>
      </c>
      <c r="K34" s="16" t="inlineStr">
        <is>
          <t>PT SUCOFINDO</t>
        </is>
      </c>
      <c r="L34" s="26" t="n">
        <v>4268</v>
      </c>
      <c r="M34" s="26" t="n"/>
      <c r="N34" s="130" t="n">
        <v>6278</v>
      </c>
      <c r="O34" s="18" t="n">
        <v>32.02</v>
      </c>
      <c r="P34" s="18" t="n">
        <v>16.93</v>
      </c>
      <c r="Q34" s="18" t="n">
        <v>4.89</v>
      </c>
      <c r="R34" s="18" t="n">
        <v>5.98</v>
      </c>
      <c r="S34" s="18" t="n">
        <v>7.2</v>
      </c>
      <c r="T34" s="18" t="n">
        <v>31.52</v>
      </c>
      <c r="U34" s="18" t="n">
        <v>38.52</v>
      </c>
      <c r="V34" s="18" t="n">
        <v>31.57</v>
      </c>
      <c r="W34" s="18" t="n">
        <v>38.57</v>
      </c>
      <c r="X34" s="18" t="n">
        <v>0.16</v>
      </c>
      <c r="Y34" s="18" t="n">
        <v>0.19</v>
      </c>
      <c r="Z34" s="18" t="n">
        <v>0.23</v>
      </c>
      <c r="AA34" s="18" t="n"/>
      <c r="AB34" s="18" t="n"/>
      <c r="AC34" s="28" t="n">
        <v>58</v>
      </c>
      <c r="AD34" s="18" t="n">
        <v>98.06999999999999</v>
      </c>
      <c r="AE34" s="18" t="n">
        <v>96.09</v>
      </c>
      <c r="AF34" s="18" t="inlineStr">
        <is>
          <t>-</t>
        </is>
      </c>
      <c r="AG34" s="18" t="n">
        <v>16.15</v>
      </c>
    </row>
    <row r="35">
      <c r="A35" s="11">
        <f>EOMONTH(G35,-1)+1</f>
        <v/>
      </c>
      <c r="B35" s="12" t="n">
        <v>585</v>
      </c>
      <c r="C35" s="12" t="inlineStr">
        <is>
          <t>PT DEMO SUPPLIER 5</t>
        </is>
      </c>
      <c r="D35" s="12" t="inlineStr">
        <is>
          <t>LL MACAN TUTUL 02</t>
        </is>
      </c>
      <c r="E35" s="12" t="inlineStr">
        <is>
          <t>SUMBER CIPTA III</t>
        </is>
      </c>
      <c r="F35" s="125" t="n">
        <v>44112.13194444445</v>
      </c>
      <c r="G35" s="125" t="n">
        <v>44113.54861111111</v>
      </c>
      <c r="H35" s="126" t="n">
        <v>6057.614</v>
      </c>
      <c r="I35" s="128" t="inlineStr">
        <is>
          <t>COA-DEMO-0034</t>
        </is>
      </c>
      <c r="J35" s="129" t="n">
        <v>44104</v>
      </c>
      <c r="K35" s="16" t="inlineStr">
        <is>
          <t>PT SUCOFINDO</t>
        </is>
      </c>
      <c r="L35" s="26" t="n">
        <v>4021</v>
      </c>
      <c r="M35" s="26" t="n"/>
      <c r="N35" s="130" t="n">
        <v>6141</v>
      </c>
      <c r="O35" s="18" t="n">
        <v>34.52</v>
      </c>
      <c r="P35" s="18" t="n">
        <v>14.92</v>
      </c>
      <c r="Q35" s="18" t="n">
        <v>4.79</v>
      </c>
      <c r="R35" s="18" t="n">
        <v>6.22</v>
      </c>
      <c r="S35" s="18" t="n">
        <v>7.31</v>
      </c>
      <c r="T35" s="18" t="n">
        <v>31.47</v>
      </c>
      <c r="U35" s="18" t="n">
        <v>40.89</v>
      </c>
      <c r="V35" s="18" t="n">
        <v>29.22</v>
      </c>
      <c r="W35" s="18" t="n">
        <v>37.97</v>
      </c>
      <c r="X35" s="18" t="n">
        <v>0.16</v>
      </c>
      <c r="Y35" s="18" t="n">
        <v>0.21</v>
      </c>
      <c r="Z35" s="18" t="n">
        <v>0.24</v>
      </c>
      <c r="AA35" s="18" t="n"/>
      <c r="AB35" s="18" t="n"/>
      <c r="AC35" s="28" t="n">
        <v>59</v>
      </c>
      <c r="AD35" s="18" t="n">
        <v>98</v>
      </c>
      <c r="AE35" s="18" t="n">
        <v>96</v>
      </c>
      <c r="AF35" s="18" t="n">
        <v>56</v>
      </c>
      <c r="AG35" s="18" t="n">
        <v>17</v>
      </c>
    </row>
    <row r="36">
      <c r="A36" s="11">
        <f>EOMONTH(G36,-1)+1</f>
        <v/>
      </c>
      <c r="B36" s="12" t="inlineStr">
        <is>
          <t>Lot 28</t>
        </is>
      </c>
      <c r="C36" s="12" t="inlineStr">
        <is>
          <t>PT DEMO SUPPLIER 7</t>
        </is>
      </c>
      <c r="D36" s="12" t="inlineStr">
        <is>
          <t>DUMP TRUCK</t>
        </is>
      </c>
      <c r="E36" s="12" t="inlineStr">
        <is>
          <t>DUMP TRUCK</t>
        </is>
      </c>
      <c r="F36" s="125" t="n">
        <v>44105.61597222222</v>
      </c>
      <c r="G36" s="125" t="n">
        <v>44114.48611111111</v>
      </c>
      <c r="H36" s="126" t="n">
        <v>5065.23</v>
      </c>
      <c r="I36" s="128" t="inlineStr">
        <is>
          <t>COA-DEMO-0035</t>
        </is>
      </c>
      <c r="J36" s="129" t="n">
        <v>44119</v>
      </c>
      <c r="K36" s="16" t="inlineStr">
        <is>
          <t>PT SUCOFINDO</t>
        </is>
      </c>
      <c r="L36" s="26" t="n">
        <v>4137</v>
      </c>
      <c r="M36" s="26" t="n"/>
      <c r="N36" s="130" t="n">
        <v>6252</v>
      </c>
      <c r="O36" s="18" t="n">
        <v>33.83</v>
      </c>
      <c r="P36" s="18" t="n">
        <v>12.48</v>
      </c>
      <c r="Q36" s="18" t="n">
        <v>5.39</v>
      </c>
      <c r="R36" s="18" t="n">
        <v>7.12</v>
      </c>
      <c r="S36" s="18" t="n">
        <v>8.140000000000001</v>
      </c>
      <c r="T36" s="18" t="n">
        <v>30.43</v>
      </c>
      <c r="U36" s="18" t="n">
        <v>40.25</v>
      </c>
      <c r="V36" s="18" t="n">
        <v>30.35</v>
      </c>
      <c r="W36" s="18" t="n">
        <v>40.14</v>
      </c>
      <c r="X36" s="18" t="n">
        <v>0.22</v>
      </c>
      <c r="Y36" s="18" t="n">
        <v>0.29</v>
      </c>
      <c r="Z36" s="18" t="n">
        <v>0.33</v>
      </c>
      <c r="AA36" s="18" t="n"/>
      <c r="AB36" s="18" t="n"/>
      <c r="AC36" s="28" t="n">
        <v>64</v>
      </c>
      <c r="AD36" s="18" t="n"/>
      <c r="AE36" s="18" t="n"/>
      <c r="AF36" s="18" t="n"/>
      <c r="AG36" s="18" t="n"/>
    </row>
    <row r="37">
      <c r="A37" s="11">
        <f>EOMONTH(G37,-1)+1</f>
        <v/>
      </c>
      <c r="B37" s="12" t="inlineStr">
        <is>
          <t>Lot 27</t>
        </is>
      </c>
      <c r="C37" s="12" t="inlineStr">
        <is>
          <t>PT DEMO SUPPLIER 4</t>
        </is>
      </c>
      <c r="D37" s="12" t="inlineStr">
        <is>
          <t>DUMP TRUCK</t>
        </is>
      </c>
      <c r="E37" s="12" t="inlineStr">
        <is>
          <t>DUMP TRUCK</t>
        </is>
      </c>
      <c r="F37" s="125" t="n">
        <v>44104.58541666667</v>
      </c>
      <c r="G37" s="125" t="n">
        <v>44114.72847222222</v>
      </c>
      <c r="H37" s="126" t="n">
        <v>5055.3</v>
      </c>
      <c r="I37" s="15" t="inlineStr">
        <is>
          <t>COA-DEMO-0036</t>
        </is>
      </c>
      <c r="J37" s="129" t="n">
        <v>44109</v>
      </c>
      <c r="K37" s="12" t="inlineStr">
        <is>
          <t>PT GEOSERVICES</t>
        </is>
      </c>
      <c r="L37" s="26" t="n">
        <v>4213</v>
      </c>
      <c r="M37" s="26" t="n"/>
      <c r="N37" s="130" t="n"/>
      <c r="O37" s="18" t="n">
        <v>36.13</v>
      </c>
      <c r="P37" s="18" t="n">
        <v>15.15</v>
      </c>
      <c r="Q37" s="18" t="n">
        <v>5.18</v>
      </c>
      <c r="R37" s="18" t="n">
        <v>6.88</v>
      </c>
      <c r="S37" s="18" t="n"/>
      <c r="T37" s="18" t="n">
        <v>28.08</v>
      </c>
      <c r="U37" s="18" t="n">
        <v>37.31</v>
      </c>
      <c r="V37" s="18" t="n">
        <v>30.61</v>
      </c>
      <c r="W37" s="18" t="n">
        <v>40.66</v>
      </c>
      <c r="X37" s="18" t="n">
        <v>0.46</v>
      </c>
      <c r="Y37" s="18" t="n">
        <v>0.61</v>
      </c>
      <c r="Z37" s="18" t="n"/>
      <c r="AA37" s="18" t="n"/>
      <c r="AB37" s="18" t="n"/>
      <c r="AC37" s="28" t="n">
        <v>55</v>
      </c>
      <c r="AD37" s="18" t="n"/>
      <c r="AE37" s="18" t="n"/>
      <c r="AF37" s="18" t="n"/>
      <c r="AG37" s="18" t="n"/>
    </row>
    <row r="38">
      <c r="A38" s="11">
        <f>EOMONTH(G38,-1)+1</f>
        <v/>
      </c>
      <c r="B38" s="12" t="n">
        <v>586</v>
      </c>
      <c r="C38" s="12" t="inlineStr">
        <is>
          <t>PT DEMO SUPPLIER 7</t>
        </is>
      </c>
      <c r="D38" s="12" t="inlineStr">
        <is>
          <t>KSD 17</t>
        </is>
      </c>
      <c r="E38" s="12" t="inlineStr">
        <is>
          <t>KSD 38</t>
        </is>
      </c>
      <c r="F38" s="125" t="n">
        <v>44113.63541666666</v>
      </c>
      <c r="G38" s="125" t="n">
        <v>44115.34027777778</v>
      </c>
      <c r="H38" s="126" t="n">
        <v>5599.423</v>
      </c>
      <c r="I38" s="128" t="inlineStr">
        <is>
          <t>COA-DEMO-0037</t>
        </is>
      </c>
      <c r="J38" s="129" t="n">
        <v>44112</v>
      </c>
      <c r="K38" s="16" t="inlineStr">
        <is>
          <t>PT SUCOFINDO</t>
        </is>
      </c>
      <c r="L38" s="26" t="n">
        <v>4116</v>
      </c>
      <c r="M38" s="26" t="n"/>
      <c r="N38" s="130" t="n">
        <v>6196</v>
      </c>
      <c r="O38" s="18" t="n">
        <v>33.57</v>
      </c>
      <c r="P38" s="18" t="n">
        <v>16.57</v>
      </c>
      <c r="Q38" s="18" t="n">
        <v>5.34</v>
      </c>
      <c r="R38" s="18" t="n">
        <v>6.71</v>
      </c>
      <c r="S38" s="18" t="n">
        <v>8.039999999999999</v>
      </c>
      <c r="T38" s="18" t="n">
        <v>23.85</v>
      </c>
      <c r="U38" s="18" t="n">
        <v>29.95</v>
      </c>
      <c r="V38" s="18" t="n">
        <v>37.24</v>
      </c>
      <c r="W38" s="18" t="n">
        <v>46.77</v>
      </c>
      <c r="X38" s="18" t="n">
        <v>0.28</v>
      </c>
      <c r="Y38" s="18" t="n">
        <v>0.35</v>
      </c>
      <c r="Z38" s="18" t="n">
        <v>0.42</v>
      </c>
      <c r="AA38" s="18" t="n"/>
      <c r="AB38" s="18" t="n"/>
      <c r="AC38" s="28" t="n">
        <v>55</v>
      </c>
      <c r="AD38" s="18" t="n">
        <v>98.19</v>
      </c>
      <c r="AE38" s="18" t="n">
        <v>96.23999999999999</v>
      </c>
      <c r="AF38" s="18" t="inlineStr">
        <is>
          <t>-</t>
        </is>
      </c>
      <c r="AG38" s="18" t="n">
        <v>17.97</v>
      </c>
    </row>
    <row r="39">
      <c r="A39" s="11">
        <f>EOMONTH(G39,-1)+1</f>
        <v/>
      </c>
      <c r="B39" s="12" t="n">
        <v>587</v>
      </c>
      <c r="C39" s="12" t="inlineStr">
        <is>
          <t>PT DEMO SUPPLIER 5</t>
        </is>
      </c>
      <c r="D39" s="12" t="inlineStr">
        <is>
          <t>LL MULIA</t>
        </is>
      </c>
      <c r="E39" s="12" t="inlineStr">
        <is>
          <t>LL 2714</t>
        </is>
      </c>
      <c r="F39" s="125" t="n">
        <v>44115.45833333334</v>
      </c>
      <c r="G39" s="125" t="n">
        <v>44116.77777777778</v>
      </c>
      <c r="H39" s="126" t="n">
        <v>5350.05</v>
      </c>
      <c r="I39" s="128" t="inlineStr">
        <is>
          <t>COA-DEMO-0038</t>
        </is>
      </c>
      <c r="J39" s="129" t="n">
        <v>44111</v>
      </c>
      <c r="K39" s="16" t="inlineStr">
        <is>
          <t>PT SUCOFINDO</t>
        </is>
      </c>
      <c r="L39" s="26" t="n">
        <v>4014</v>
      </c>
      <c r="M39" s="26" t="n"/>
      <c r="N39" s="130" t="n">
        <v>6146</v>
      </c>
      <c r="O39" s="18" t="n">
        <v>34.69</v>
      </c>
      <c r="P39" s="18" t="n">
        <v>11.85</v>
      </c>
      <c r="Q39" s="18" t="n">
        <v>4.39</v>
      </c>
      <c r="R39" s="18" t="n">
        <v>5.92</v>
      </c>
      <c r="S39" s="18" t="n">
        <v>6.72</v>
      </c>
      <c r="T39" s="18" t="n">
        <v>32.78</v>
      </c>
      <c r="U39" s="18" t="n">
        <v>44.25</v>
      </c>
      <c r="V39" s="18" t="n">
        <v>28.14</v>
      </c>
      <c r="W39" s="18" t="n">
        <v>37.98</v>
      </c>
      <c r="X39" s="18" t="n">
        <v>0.16</v>
      </c>
      <c r="Y39" s="18" t="n">
        <v>0.21</v>
      </c>
      <c r="Z39" s="18" t="n">
        <v>0.24</v>
      </c>
      <c r="AA39" s="18" t="n"/>
      <c r="AB39" s="18" t="n"/>
      <c r="AC39" s="28" t="n">
        <v>59</v>
      </c>
      <c r="AD39" s="18" t="n">
        <v>98</v>
      </c>
      <c r="AE39" s="18" t="n">
        <v>96</v>
      </c>
      <c r="AF39" s="18" t="n">
        <v>55</v>
      </c>
      <c r="AG39" s="18" t="n">
        <v>16</v>
      </c>
    </row>
    <row r="40">
      <c r="A40" s="11">
        <f>EOMONTH(G40,-1)+1</f>
        <v/>
      </c>
      <c r="B40" s="12" t="n">
        <v>588</v>
      </c>
      <c r="C40" s="12" t="inlineStr">
        <is>
          <t>PT DEMO SUPPLIER 5</t>
        </is>
      </c>
      <c r="D40" s="12" t="inlineStr">
        <is>
          <t>LL LEXXUS 03</t>
        </is>
      </c>
      <c r="E40" s="12" t="inlineStr">
        <is>
          <t>LL 2518</t>
        </is>
      </c>
      <c r="F40" s="125" t="n">
        <v>44116.84375</v>
      </c>
      <c r="G40" s="125" t="n">
        <v>44117.77777777778</v>
      </c>
      <c r="H40" s="126" t="n">
        <v>4014.714</v>
      </c>
      <c r="I40" s="128" t="inlineStr">
        <is>
          <t>COA-DEMO-0039</t>
        </is>
      </c>
      <c r="J40" s="129" t="n">
        <v>44113</v>
      </c>
      <c r="K40" s="16" t="inlineStr">
        <is>
          <t>PT SUCOFINDO</t>
        </is>
      </c>
      <c r="L40" s="26" t="n">
        <v>4016</v>
      </c>
      <c r="M40" s="26" t="n"/>
      <c r="N40" s="130" t="n">
        <v>6219</v>
      </c>
      <c r="O40" s="18" t="n">
        <v>35.42</v>
      </c>
      <c r="P40" s="18" t="n">
        <v>13.8</v>
      </c>
      <c r="Q40" s="18" t="n">
        <v>3.96</v>
      </c>
      <c r="R40" s="18" t="n">
        <v>5.29</v>
      </c>
      <c r="S40" s="18" t="n">
        <v>6.14</v>
      </c>
      <c r="T40" s="18" t="n">
        <v>31.6</v>
      </c>
      <c r="U40" s="18" t="n">
        <v>42.18</v>
      </c>
      <c r="V40" s="18" t="n">
        <v>29.01</v>
      </c>
      <c r="W40" s="18" t="n">
        <v>38.72</v>
      </c>
      <c r="X40" s="18" t="n">
        <v>0.15</v>
      </c>
      <c r="Y40" s="18" t="n">
        <v>0.19</v>
      </c>
      <c r="Z40" s="18" t="n">
        <v>0.23</v>
      </c>
      <c r="AA40" s="18" t="n"/>
      <c r="AB40" s="18" t="n"/>
      <c r="AC40" s="28" t="n">
        <v>59</v>
      </c>
      <c r="AD40" s="18" t="n">
        <v>98</v>
      </c>
      <c r="AE40" s="18" t="n">
        <v>96</v>
      </c>
      <c r="AF40" s="18" t="n">
        <v>55</v>
      </c>
      <c r="AG40" s="18" t="n">
        <v>17</v>
      </c>
    </row>
    <row r="41">
      <c r="A41" s="11">
        <f>EOMONTH(G41,-1)+1</f>
        <v/>
      </c>
      <c r="B41" s="12" t="inlineStr">
        <is>
          <t>Lot 29</t>
        </is>
      </c>
      <c r="C41" s="12" t="inlineStr">
        <is>
          <t>PT DEMO SUPPLIER 7</t>
        </is>
      </c>
      <c r="D41" s="12" t="inlineStr">
        <is>
          <t>DUMP TRUCK</t>
        </is>
      </c>
      <c r="E41" s="12" t="inlineStr">
        <is>
          <t>DUMP TRUCK</t>
        </is>
      </c>
      <c r="F41" s="125" t="n">
        <v>44114.47986111111</v>
      </c>
      <c r="G41" s="125" t="n">
        <v>44119.525</v>
      </c>
      <c r="H41" s="126" t="n">
        <v>5049.86</v>
      </c>
      <c r="I41" s="128" t="inlineStr">
        <is>
          <t>COA-DEMO-0040</t>
        </is>
      </c>
      <c r="J41" s="129" t="n">
        <v>44123</v>
      </c>
      <c r="K41" s="16" t="inlineStr">
        <is>
          <t>PT SUCOFINDO</t>
        </is>
      </c>
      <c r="L41" s="26" t="n">
        <v>4134</v>
      </c>
      <c r="M41" s="26" t="n"/>
      <c r="N41" s="130" t="n">
        <v>6280</v>
      </c>
      <c r="O41" s="18" t="n">
        <v>34.17</v>
      </c>
      <c r="P41" s="18" t="n">
        <v>13.54</v>
      </c>
      <c r="Q41" s="18" t="n">
        <v>5.13</v>
      </c>
      <c r="R41" s="18" t="n">
        <v>6.73</v>
      </c>
      <c r="S41" s="18" t="n">
        <v>7.79</v>
      </c>
      <c r="T41" s="18" t="n">
        <v>31.42</v>
      </c>
      <c r="U41" s="18" t="n">
        <v>41.27</v>
      </c>
      <c r="V41" s="18" t="n">
        <v>29.28</v>
      </c>
      <c r="W41" s="18" t="n">
        <v>38.45</v>
      </c>
      <c r="X41" s="18" t="n">
        <v>0.17</v>
      </c>
      <c r="Y41" s="18" t="n">
        <v>0.23</v>
      </c>
      <c r="Z41" s="18" t="n">
        <v>0.26</v>
      </c>
      <c r="AA41" s="18" t="n"/>
      <c r="AB41" s="18" t="n"/>
      <c r="AC41" s="28" t="n">
        <v>59</v>
      </c>
      <c r="AD41" s="18" t="n"/>
      <c r="AE41" s="18" t="n"/>
      <c r="AF41" s="18" t="n"/>
      <c r="AG41" s="18" t="n"/>
    </row>
    <row r="42">
      <c r="A42" s="11">
        <f>EOMONTH(G42,-1)+1</f>
        <v/>
      </c>
      <c r="B42" s="12" t="n">
        <v>589</v>
      </c>
      <c r="C42" s="12" t="inlineStr">
        <is>
          <t>PT DEMO SUPPLIER 5</t>
        </is>
      </c>
      <c r="D42" s="12" t="inlineStr">
        <is>
          <t>LL MASERATII 03</t>
        </is>
      </c>
      <c r="E42" s="12" t="inlineStr">
        <is>
          <t>LL 2712</t>
        </is>
      </c>
      <c r="F42" s="125" t="n">
        <v>44120.07638888889</v>
      </c>
      <c r="G42" s="125" t="n">
        <v>44121.52430555555</v>
      </c>
      <c r="H42" s="126" t="n">
        <v>5466.746</v>
      </c>
      <c r="I42" s="128" t="inlineStr">
        <is>
          <t>COA-DEMO-0041</t>
        </is>
      </c>
      <c r="J42" s="129" t="n">
        <v>44118</v>
      </c>
      <c r="K42" s="16" t="inlineStr">
        <is>
          <t>PT SUCOFINDO</t>
        </is>
      </c>
      <c r="L42" s="26" t="n">
        <v>4086</v>
      </c>
      <c r="M42" s="26" t="n"/>
      <c r="N42" s="130" t="n">
        <v>6636</v>
      </c>
      <c r="O42" s="18" t="n">
        <v>34.93</v>
      </c>
      <c r="P42" s="18" t="n">
        <v>12.43</v>
      </c>
      <c r="Q42" s="18" t="n">
        <v>3.53</v>
      </c>
      <c r="R42" s="18" t="n">
        <v>4.75</v>
      </c>
      <c r="S42" s="18" t="n">
        <v>5.43</v>
      </c>
      <c r="T42" s="18" t="n">
        <v>31.81</v>
      </c>
      <c r="U42" s="18" t="n">
        <v>42.8</v>
      </c>
      <c r="V42" s="18" t="n">
        <v>29.73</v>
      </c>
      <c r="W42" s="18" t="n">
        <v>40.01</v>
      </c>
      <c r="X42" s="18" t="n">
        <v>0.2</v>
      </c>
      <c r="Y42" s="18" t="n">
        <v>0.28</v>
      </c>
      <c r="Z42" s="18" t="n">
        <v>0.31</v>
      </c>
      <c r="AA42" s="18" t="n"/>
      <c r="AB42" s="18" t="n"/>
      <c r="AC42" s="28" t="n">
        <v>59</v>
      </c>
      <c r="AD42" s="18" t="n">
        <v>98</v>
      </c>
      <c r="AE42" s="18" t="n">
        <v>96</v>
      </c>
      <c r="AF42" s="18" t="n">
        <v>55</v>
      </c>
      <c r="AG42" s="18" t="n">
        <v>16</v>
      </c>
    </row>
    <row r="43">
      <c r="A43" s="11">
        <f>EOMONTH(G43,-1)+1</f>
        <v/>
      </c>
      <c r="B43" s="12" t="inlineStr">
        <is>
          <t>Lot 30</t>
        </is>
      </c>
      <c r="C43" s="12" t="inlineStr">
        <is>
          <t>PT DEMO SUPPLIER 4</t>
        </is>
      </c>
      <c r="D43" s="12" t="inlineStr">
        <is>
          <t>DUMP TRUCK</t>
        </is>
      </c>
      <c r="E43" s="12" t="inlineStr">
        <is>
          <t>DUMP TRUCK</t>
        </is>
      </c>
      <c r="F43" s="125" t="n">
        <v>44115.42638888889</v>
      </c>
      <c r="G43" s="125" t="n">
        <v>44121.76388888889</v>
      </c>
      <c r="H43" s="126" t="n">
        <v>5018.11</v>
      </c>
      <c r="I43" s="15" t="inlineStr">
        <is>
          <t>COA-DEMO-0042</t>
        </is>
      </c>
      <c r="J43" s="129" t="n">
        <v>44118</v>
      </c>
      <c r="K43" s="12" t="inlineStr">
        <is>
          <t>PT GEOSERVICES</t>
        </is>
      </c>
      <c r="L43" s="26" t="n">
        <v>4202</v>
      </c>
      <c r="M43" s="26" t="n"/>
      <c r="N43" s="130" t="n"/>
      <c r="O43" s="18" t="n">
        <v>36.01</v>
      </c>
      <c r="P43" s="18" t="n">
        <v>14.91</v>
      </c>
      <c r="Q43" s="18" t="n">
        <v>5.35</v>
      </c>
      <c r="R43" s="18" t="n">
        <v>7.11</v>
      </c>
      <c r="S43" s="18" t="n"/>
      <c r="T43" s="18" t="n">
        <v>27.99</v>
      </c>
      <c r="U43" s="18" t="n">
        <v>37.22</v>
      </c>
      <c r="V43" s="18" t="n">
        <v>30.65</v>
      </c>
      <c r="W43" s="18" t="n">
        <v>40.76</v>
      </c>
      <c r="X43" s="18" t="n">
        <v>0.5</v>
      </c>
      <c r="Y43" s="18" t="n">
        <v>0.67</v>
      </c>
      <c r="Z43" s="18" t="n"/>
      <c r="AA43" s="18" t="n"/>
      <c r="AB43" s="18" t="n"/>
      <c r="AC43" s="28" t="n">
        <v>56</v>
      </c>
      <c r="AD43" s="18" t="n"/>
      <c r="AE43" s="18" t="n"/>
      <c r="AF43" s="18" t="n"/>
      <c r="AG43" s="18" t="n"/>
    </row>
    <row r="44">
      <c r="A44" s="11">
        <f>EOMONTH(G44,-1)+1</f>
        <v/>
      </c>
      <c r="B44" s="12" t="inlineStr">
        <is>
          <t>Lot 31</t>
        </is>
      </c>
      <c r="C44" s="12" t="inlineStr">
        <is>
          <t>PT DEMO SUPPLIER 7</t>
        </is>
      </c>
      <c r="D44" s="12" t="inlineStr">
        <is>
          <t>DUMP TRUCK</t>
        </is>
      </c>
      <c r="E44" s="12" t="inlineStr">
        <is>
          <t>DUMP TRUCK</t>
        </is>
      </c>
      <c r="F44" s="125" t="n">
        <v>44119.62986111111</v>
      </c>
      <c r="G44" s="125" t="n">
        <v>44122.71875</v>
      </c>
      <c r="H44" s="126" t="n">
        <v>5502.34</v>
      </c>
      <c r="I44" s="128" t="inlineStr">
        <is>
          <t>COA-DEMO-0043</t>
        </is>
      </c>
      <c r="J44" s="129" t="n">
        <v>44127</v>
      </c>
      <c r="K44" s="16" t="inlineStr">
        <is>
          <t>PT SUCOFINDO</t>
        </is>
      </c>
      <c r="L44" s="26" t="n">
        <v>4120</v>
      </c>
      <c r="M44" s="26" t="n"/>
      <c r="N44" s="130" t="n">
        <v>6284</v>
      </c>
      <c r="O44" s="18" t="n">
        <v>34.43</v>
      </c>
      <c r="P44" s="18" t="n">
        <v>14.02</v>
      </c>
      <c r="Q44" s="18" t="n">
        <v>4.79</v>
      </c>
      <c r="R44" s="18" t="n">
        <v>6.29</v>
      </c>
      <c r="S44" s="18" t="n">
        <v>7.31</v>
      </c>
      <c r="T44" s="18" t="n">
        <v>30.88</v>
      </c>
      <c r="U44" s="18" t="n">
        <v>40.49</v>
      </c>
      <c r="V44" s="18" t="n">
        <v>29.9</v>
      </c>
      <c r="W44" s="18" t="n">
        <v>39.2</v>
      </c>
      <c r="X44" s="18" t="n">
        <v>0.15</v>
      </c>
      <c r="Y44" s="18" t="n">
        <v>0.2</v>
      </c>
      <c r="Z44" s="18" t="n">
        <v>0.23</v>
      </c>
      <c r="AA44" s="18" t="n"/>
      <c r="AB44" s="18" t="n"/>
      <c r="AC44" s="28" t="n">
        <v>59</v>
      </c>
      <c r="AD44" s="18" t="n"/>
      <c r="AE44" s="18" t="n"/>
      <c r="AF44" s="18" t="n"/>
      <c r="AG44" s="18" t="n"/>
    </row>
    <row r="45">
      <c r="A45" s="11">
        <f>EOMONTH(G45,-1)+1</f>
        <v/>
      </c>
      <c r="B45" s="12" t="n">
        <v>590</v>
      </c>
      <c r="C45" s="12" t="inlineStr">
        <is>
          <t>PT DEMO SUPPLIER 3</t>
        </is>
      </c>
      <c r="D45" s="12" t="inlineStr">
        <is>
          <t>MERPATI 2701</t>
        </is>
      </c>
      <c r="E45" s="12" t="inlineStr">
        <is>
          <t>RAJAWALI 2701</t>
        </is>
      </c>
      <c r="F45" s="125" t="n">
        <v>44121.59722222222</v>
      </c>
      <c r="G45" s="125" t="n">
        <v>44122.81944444445</v>
      </c>
      <c r="H45" s="126" t="n">
        <v>5054.25</v>
      </c>
      <c r="I45" s="128" t="inlineStr">
        <is>
          <t>COA-DEMO-0044</t>
        </is>
      </c>
      <c r="J45" s="129" t="n">
        <v>44119</v>
      </c>
      <c r="K45" s="16" t="inlineStr">
        <is>
          <t>PT SURVEYOR INDONESIA</t>
        </is>
      </c>
      <c r="L45" s="26" t="n">
        <v>4239</v>
      </c>
      <c r="M45" s="26" t="n"/>
      <c r="N45" s="130" t="n">
        <v>6456</v>
      </c>
      <c r="O45" s="18" t="n">
        <v>34.34</v>
      </c>
      <c r="P45" s="18" t="n">
        <v>16.82</v>
      </c>
      <c r="Q45" s="18" t="n">
        <v>4.77</v>
      </c>
      <c r="R45" s="18" t="n">
        <v>6.04</v>
      </c>
      <c r="S45" s="18" t="n">
        <v>7.26</v>
      </c>
      <c r="T45" s="18" t="n">
        <v>31.99</v>
      </c>
      <c r="U45" s="18" t="n">
        <v>40.53</v>
      </c>
      <c r="V45" s="18" t="n">
        <v>28.9</v>
      </c>
      <c r="W45" s="18" t="n">
        <v>36.61</v>
      </c>
      <c r="X45" s="18" t="n">
        <v>0.27</v>
      </c>
      <c r="Y45" s="18" t="n">
        <v>0.34</v>
      </c>
      <c r="Z45" s="18" t="n">
        <v>0.41</v>
      </c>
      <c r="AA45" s="18" t="n"/>
      <c r="AB45" s="18" t="n"/>
      <c r="AC45" s="28" t="n">
        <v>56</v>
      </c>
      <c r="AD45" s="18" t="n">
        <v>99</v>
      </c>
      <c r="AE45" s="18" t="n">
        <v>97</v>
      </c>
      <c r="AF45" s="18" t="n">
        <v>79</v>
      </c>
      <c r="AG45" s="18" t="n">
        <v>19</v>
      </c>
    </row>
    <row r="46">
      <c r="A46" s="11">
        <f>EOMONTH(G46,-1)+1</f>
        <v/>
      </c>
      <c r="B46" s="12" t="n">
        <v>591</v>
      </c>
      <c r="C46" s="12" t="inlineStr">
        <is>
          <t>PT DEMO SUPPLIER 7</t>
        </is>
      </c>
      <c r="D46" s="12" t="inlineStr">
        <is>
          <t>MEGA DAYA 27</t>
        </is>
      </c>
      <c r="E46" s="12" t="inlineStr">
        <is>
          <t>MARCOPOLO 2528</t>
        </is>
      </c>
      <c r="F46" s="125" t="n">
        <v>44122.89583333334</v>
      </c>
      <c r="G46" s="125" t="n">
        <v>44124.72222222222</v>
      </c>
      <c r="H46" s="126" t="n">
        <v>5548.12</v>
      </c>
      <c r="I46" s="128" t="inlineStr">
        <is>
          <t>COA-DEMO-0045</t>
        </is>
      </c>
      <c r="J46" s="129" t="n">
        <v>44118</v>
      </c>
      <c r="K46" s="16" t="inlineStr">
        <is>
          <t>PT SUCOFINDO</t>
        </is>
      </c>
      <c r="L46" s="26" t="n">
        <v>4198</v>
      </c>
      <c r="M46" s="26" t="n"/>
      <c r="N46" s="130" t="n">
        <v>6449</v>
      </c>
      <c r="O46" s="18" t="n">
        <v>34.91</v>
      </c>
      <c r="P46" s="18" t="n">
        <v>12.62</v>
      </c>
      <c r="Q46" s="18" t="n">
        <v>5.26</v>
      </c>
      <c r="R46" s="18" t="n">
        <v>7.06</v>
      </c>
      <c r="S46" s="18" t="n">
        <v>8.09</v>
      </c>
      <c r="T46" s="18" t="n">
        <v>30.58</v>
      </c>
      <c r="U46" s="18" t="n">
        <v>41.05</v>
      </c>
      <c r="V46" s="18" t="n">
        <v>29.25</v>
      </c>
      <c r="W46" s="18" t="n">
        <v>39.26</v>
      </c>
      <c r="X46" s="18" t="n">
        <v>0.19</v>
      </c>
      <c r="Y46" s="18" t="n">
        <v>0.25</v>
      </c>
      <c r="Z46" s="18" t="n">
        <v>0.29</v>
      </c>
      <c r="AA46" s="18" t="n"/>
      <c r="AB46" s="18" t="n"/>
      <c r="AC46" s="28" t="n">
        <v>59</v>
      </c>
      <c r="AD46" s="18" t="n">
        <v>98.09</v>
      </c>
      <c r="AE46" s="18" t="n">
        <v>96.15000000000001</v>
      </c>
      <c r="AF46" s="18" t="inlineStr">
        <is>
          <t>-</t>
        </is>
      </c>
      <c r="AG46" s="18" t="n">
        <v>15.48</v>
      </c>
    </row>
    <row r="47">
      <c r="A47" s="11">
        <f>EOMONTH(G47,-1)+1</f>
        <v/>
      </c>
      <c r="B47" s="12" t="n">
        <v>592</v>
      </c>
      <c r="C47" s="12" t="inlineStr">
        <is>
          <t>PT DEMO SUPPLIER 5</t>
        </is>
      </c>
      <c r="D47" s="12" t="inlineStr">
        <is>
          <t>LL PRIMA</t>
        </is>
      </c>
      <c r="E47" s="12" t="inlineStr">
        <is>
          <t>LL 2711</t>
        </is>
      </c>
      <c r="F47" s="125" t="n">
        <v>44124.80208333334</v>
      </c>
      <c r="G47" s="125" t="n">
        <v>44126.09027777778</v>
      </c>
      <c r="H47" s="126" t="n">
        <v>5443.803</v>
      </c>
      <c r="I47" s="128" t="inlineStr">
        <is>
          <t>COA-DEMO-0046</t>
        </is>
      </c>
      <c r="J47" s="129" t="n">
        <v>44119</v>
      </c>
      <c r="K47" s="16" t="inlineStr">
        <is>
          <t>PT SUCOFINDO</t>
        </is>
      </c>
      <c r="L47" s="26" t="n">
        <v>4015</v>
      </c>
      <c r="M47" s="26" t="n"/>
      <c r="N47" s="130" t="n">
        <v>6098</v>
      </c>
      <c r="O47" s="18" t="n">
        <v>34.16</v>
      </c>
      <c r="P47" s="18" t="n">
        <v>13.61</v>
      </c>
      <c r="Q47" s="18" t="n">
        <v>4.89</v>
      </c>
      <c r="R47" s="18" t="n">
        <v>6.41</v>
      </c>
      <c r="S47" s="18" t="n">
        <v>7.42</v>
      </c>
      <c r="T47" s="18" t="n">
        <v>32.3</v>
      </c>
      <c r="U47" s="18" t="n">
        <v>42.38</v>
      </c>
      <c r="V47" s="18" t="n">
        <v>28.66</v>
      </c>
      <c r="W47" s="18" t="n">
        <v>37.6</v>
      </c>
      <c r="X47" s="18" t="n">
        <v>0.21</v>
      </c>
      <c r="Y47" s="18" t="n">
        <v>0.27</v>
      </c>
      <c r="Z47" s="18" t="n">
        <v>0.31</v>
      </c>
      <c r="AA47" s="18" t="n"/>
      <c r="AB47" s="18" t="n"/>
      <c r="AC47" s="28" t="n">
        <v>59</v>
      </c>
      <c r="AD47" s="18" t="n">
        <v>98</v>
      </c>
      <c r="AE47" s="18" t="n">
        <v>96</v>
      </c>
      <c r="AF47" s="18" t="n">
        <v>56</v>
      </c>
      <c r="AG47" s="18" t="n">
        <v>16</v>
      </c>
    </row>
    <row r="48">
      <c r="A48" s="11">
        <f>EOMONTH(G48,-1)+1</f>
        <v/>
      </c>
      <c r="B48" s="12" t="inlineStr">
        <is>
          <t>Lot 32</t>
        </is>
      </c>
      <c r="C48" s="12" t="inlineStr">
        <is>
          <t>PT DEMO SUPPLIER 4</t>
        </is>
      </c>
      <c r="D48" s="12" t="inlineStr">
        <is>
          <t>DUMP TRUCK</t>
        </is>
      </c>
      <c r="E48" s="12" t="inlineStr">
        <is>
          <t>DUMP TRUCK</t>
        </is>
      </c>
      <c r="F48" s="125" t="n">
        <v>44121.73263888889</v>
      </c>
      <c r="G48" s="125" t="n">
        <v>44126.50902777778</v>
      </c>
      <c r="H48" s="126" t="n">
        <v>5012.47</v>
      </c>
      <c r="I48" s="128" t="inlineStr">
        <is>
          <t>COA-DEMO-0047</t>
        </is>
      </c>
      <c r="J48" s="129" t="n">
        <v>44130</v>
      </c>
      <c r="K48" s="16" t="inlineStr">
        <is>
          <t>PT SUCOFINDO</t>
        </is>
      </c>
      <c r="L48" s="26" t="n">
        <v>4228</v>
      </c>
      <c r="M48" s="26" t="n"/>
      <c r="N48" s="130" t="n">
        <v>6380</v>
      </c>
      <c r="O48" s="18" t="n">
        <v>33.73</v>
      </c>
      <c r="P48" s="18" t="n">
        <v>14.99</v>
      </c>
      <c r="Q48" s="18" t="n">
        <v>4.85</v>
      </c>
      <c r="R48" s="18" t="n">
        <v>6.23</v>
      </c>
      <c r="S48" s="18" t="n">
        <v>7.32</v>
      </c>
      <c r="T48" s="18" t="n">
        <v>29.23</v>
      </c>
      <c r="U48" s="18" t="n">
        <v>37.49</v>
      </c>
      <c r="V48" s="18" t="n">
        <v>32.19</v>
      </c>
      <c r="W48" s="18" t="n">
        <v>41.29</v>
      </c>
      <c r="X48" s="18" t="n">
        <v>0.24</v>
      </c>
      <c r="Y48" s="18" t="n">
        <v>0.31</v>
      </c>
      <c r="Z48" s="18" t="n">
        <v>0.37</v>
      </c>
      <c r="AA48" s="18" t="n"/>
      <c r="AB48" s="18" t="n"/>
      <c r="AC48" s="28" t="n">
        <v>64</v>
      </c>
      <c r="AD48" s="18" t="n"/>
      <c r="AE48" s="18" t="n"/>
      <c r="AF48" s="18" t="n"/>
      <c r="AG48" s="18" t="n"/>
    </row>
    <row r="49">
      <c r="A49" s="11">
        <f>EOMONTH(G49,-1)+1</f>
        <v/>
      </c>
      <c r="B49" s="12" t="n">
        <v>593</v>
      </c>
      <c r="C49" s="12" t="inlineStr">
        <is>
          <t>PT DEMO SUPPLIER 6</t>
        </is>
      </c>
      <c r="D49" s="12" t="inlineStr">
        <is>
          <t>MEGA DAYA 33</t>
        </is>
      </c>
      <c r="E49" s="12" t="inlineStr">
        <is>
          <t>MARCOPOLO 278</t>
        </is>
      </c>
      <c r="F49" s="125" t="n">
        <v>44126.21527777778</v>
      </c>
      <c r="G49" s="125" t="n">
        <v>44127.62847222222</v>
      </c>
      <c r="H49" s="126" t="n">
        <v>5294.507</v>
      </c>
      <c r="I49" s="16" t="n"/>
      <c r="J49" s="16" t="n">
        <v>44118</v>
      </c>
      <c r="K49" s="129" t="inlineStr">
        <is>
          <t>PT SURVEYOR INDONESIA</t>
        </is>
      </c>
      <c r="L49" s="12" t="n">
        <v>4231</v>
      </c>
      <c r="M49" s="12" t="n"/>
      <c r="N49" s="26" t="n">
        <v>6489</v>
      </c>
      <c r="O49" s="130" t="n">
        <v>34.79</v>
      </c>
      <c r="P49" s="18" t="n">
        <v>24.36</v>
      </c>
      <c r="Q49" s="18" t="n">
        <v>3.62</v>
      </c>
      <c r="R49" s="18" t="n">
        <v>4.2</v>
      </c>
      <c r="S49" s="18" t="n">
        <v>5.55</v>
      </c>
      <c r="T49" s="18" t="n">
        <v>32.31</v>
      </c>
      <c r="U49" s="18" t="n">
        <v>37.48</v>
      </c>
      <c r="V49" s="18" t="n">
        <v>29.28</v>
      </c>
      <c r="W49" s="18" t="n">
        <v>33.96</v>
      </c>
      <c r="X49" s="18" t="n">
        <v>0.25</v>
      </c>
      <c r="Y49" s="18" t="n">
        <v>0.29</v>
      </c>
      <c r="Z49" s="18" t="n">
        <v>0.38</v>
      </c>
      <c r="AA49" s="18" t="n"/>
      <c r="AB49" s="18" t="n"/>
      <c r="AC49" s="28" t="n">
        <v>59</v>
      </c>
      <c r="AD49" s="18" t="n">
        <v>99</v>
      </c>
      <c r="AE49" s="18" t="n">
        <v>97</v>
      </c>
      <c r="AF49" s="18" t="n">
        <v>75</v>
      </c>
      <c r="AG49" s="18" t="n">
        <v>19</v>
      </c>
    </row>
    <row r="50">
      <c r="A50" s="11">
        <f>EOMONTH(G50,-1)+1</f>
        <v/>
      </c>
      <c r="B50" s="12" t="n">
        <v>594</v>
      </c>
      <c r="C50" s="12" t="inlineStr">
        <is>
          <t>PT DEMO SUPPLIER 3</t>
        </is>
      </c>
      <c r="D50" s="12" t="inlineStr">
        <is>
          <t>LL DJU MING</t>
        </is>
      </c>
      <c r="E50" s="12" t="inlineStr">
        <is>
          <t>LL 2713</t>
        </is>
      </c>
      <c r="F50" s="125" t="n">
        <v>44127.76041666666</v>
      </c>
      <c r="G50" s="125" t="n">
        <v>44128.84722222222</v>
      </c>
      <c r="H50" s="126" t="n">
        <v>5419.222</v>
      </c>
      <c r="I50" s="16" t="n"/>
      <c r="J50" s="16" t="n">
        <v>44124</v>
      </c>
      <c r="K50" s="129" t="inlineStr">
        <is>
          <t>PT SURVEYOR INDONESIA</t>
        </is>
      </c>
      <c r="L50" s="12" t="n">
        <v>4242</v>
      </c>
      <c r="M50" s="12" t="n"/>
      <c r="N50" s="26" t="n">
        <v>6468</v>
      </c>
      <c r="O50" s="130" t="n">
        <v>34.42</v>
      </c>
      <c r="P50" s="18" t="n">
        <v>18.38</v>
      </c>
      <c r="Q50" s="18" t="n">
        <v>4.64</v>
      </c>
      <c r="R50" s="18" t="n">
        <v>5.77</v>
      </c>
      <c r="S50" s="18" t="n">
        <v>7.07</v>
      </c>
      <c r="T50" s="18" t="n">
        <v>34.8</v>
      </c>
      <c r="U50" s="18" t="n">
        <v>43.31</v>
      </c>
      <c r="V50" s="18" t="n">
        <v>26.15</v>
      </c>
      <c r="W50" s="18" t="n">
        <v>32.54</v>
      </c>
      <c r="X50" s="18" t="n">
        <v>0.22</v>
      </c>
      <c r="Y50" s="18" t="n">
        <v>0.27</v>
      </c>
      <c r="Z50" s="18" t="n">
        <v>0.33</v>
      </c>
      <c r="AA50" s="18" t="n"/>
      <c r="AB50" s="18" t="n"/>
      <c r="AC50" s="28" t="n">
        <v>56</v>
      </c>
      <c r="AD50" s="18" t="n">
        <v>99</v>
      </c>
      <c r="AE50" s="18" t="n">
        <v>97</v>
      </c>
      <c r="AF50" s="18" t="n">
        <v>79</v>
      </c>
      <c r="AG50" s="18" t="n">
        <v>19</v>
      </c>
    </row>
    <row r="51">
      <c r="A51" s="11">
        <f>EOMONTH(G51,-1)+1</f>
        <v/>
      </c>
      <c r="B51" s="12" t="n">
        <v>595</v>
      </c>
      <c r="C51" s="12" t="inlineStr">
        <is>
          <t>PT DEMO SUPPLIER 7</t>
        </is>
      </c>
      <c r="D51" s="12" t="inlineStr">
        <is>
          <t>KSD 17</t>
        </is>
      </c>
      <c r="E51" s="12" t="inlineStr">
        <is>
          <t>KSD 38</t>
        </is>
      </c>
      <c r="F51" s="125" t="n">
        <v>44128.95138888889</v>
      </c>
      <c r="G51" s="125" t="n">
        <v>44130.5625</v>
      </c>
      <c r="H51" s="126" t="n">
        <v>5757.167</v>
      </c>
      <c r="I51" s="16" t="n"/>
      <c r="J51" s="16" t="n">
        <v>44130</v>
      </c>
      <c r="K51" s="129" t="inlineStr">
        <is>
          <t>PT SUCOFINDO</t>
        </is>
      </c>
      <c r="L51" s="12" t="n">
        <v>4113</v>
      </c>
      <c r="M51" s="12" t="n"/>
      <c r="N51" s="26" t="n">
        <v>6254</v>
      </c>
      <c r="O51" s="130" t="n">
        <v>34.24</v>
      </c>
      <c r="P51" s="18" t="n">
        <v>16.08</v>
      </c>
      <c r="Q51" s="18" t="n">
        <v>5.24</v>
      </c>
      <c r="R51" s="18" t="n">
        <v>6.68</v>
      </c>
      <c r="S51" s="18" t="n">
        <v>7.96</v>
      </c>
      <c r="T51" s="18" t="n">
        <v>30.29</v>
      </c>
      <c r="U51" s="18" t="n">
        <v>38.66</v>
      </c>
      <c r="V51" s="18" t="n">
        <v>30.23</v>
      </c>
      <c r="W51" s="18" t="n">
        <v>38.58</v>
      </c>
      <c r="X51" s="18" t="n">
        <v>0.17</v>
      </c>
      <c r="Y51" s="18" t="n">
        <v>0.22</v>
      </c>
      <c r="Z51" s="18" t="n">
        <v>0.26</v>
      </c>
      <c r="AA51" s="18" t="n"/>
      <c r="AB51" s="18" t="n"/>
      <c r="AC51" s="28" t="n">
        <v>59</v>
      </c>
      <c r="AD51" s="18" t="n">
        <v>98.03</v>
      </c>
      <c r="AE51" s="18" t="n">
        <v>95.98</v>
      </c>
      <c r="AF51" s="18" t="inlineStr">
        <is>
          <t>-</t>
        </is>
      </c>
      <c r="AG51" s="18" t="n">
        <v>17.92</v>
      </c>
    </row>
    <row r="215" ht="30" customHeight="1"/>
    <row r="228" ht="30" customHeight="1"/>
    <row r="516" ht="30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budi hidayat</dc:creator>
  <dcterms:created xsi:type="dcterms:W3CDTF">2026-01-29T17:38:10Z</dcterms:created>
  <dcterms:modified xsi:type="dcterms:W3CDTF">2026-05-11T07:32:12Z</dcterms:modified>
  <cp:lastModifiedBy>budi hidayat</cp:lastModifiedBy>
</cp:coreProperties>
</file>