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UNLoad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[$-409]mmm\-yy"/>
    <numFmt numFmtId="165" formatCode="m/d/yyyy\ h:mm"/>
    <numFmt numFmtId="166" formatCode="_(* #,##0.000_);_(* \(#,##0.000\);_(* &quot;-&quot;???_);_(@_)"/>
    <numFmt numFmtId="167" formatCode="[$-409]d\-mmm\-yyyy"/>
    <numFmt numFmtId="168" formatCode="#,##0.000"/>
    <numFmt numFmtId="169" formatCode="0.0"/>
    <numFmt numFmtId="170" formatCode="dd/mm/yyyy&quot; &quot;hh&quot;:&quot;mm"/>
    <numFmt numFmtId="171" formatCode="[$-421]dd\ mmmm\ yyyy;@"/>
    <numFmt numFmtId="172" formatCode="000"/>
    <numFmt numFmtId="173" formatCode="_(* #,##0.000_);_(* \(#,##0.000\);_(* &quot;-&quot;_);_(@_)"/>
    <numFmt numFmtId="174" formatCode="dd&quot;/&quot;mm&quot;/&quot;yyyy&quot; &quot;hh&quot;:&quot;mm"/>
    <numFmt numFmtId="175" formatCode="d\-mmm\-yy"/>
    <numFmt numFmtId="176" formatCode="mm/dd/yyyy\ hh:mm"/>
  </numFmts>
  <fonts count="5">
    <font>
      <name val="Calibri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12">
    <xf numFmtId="0" fontId="0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167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168" fontId="1" fillId="2" borderId="1" applyAlignment="1" pivotButton="0" quotePrefix="0" xfId="0">
      <alignment horizontal="center" vertical="center" wrapText="1"/>
    </xf>
    <xf numFmtId="169" fontId="1" fillId="2" borderId="1" applyAlignment="1" pivotButton="0" quotePrefix="0" xfId="0">
      <alignment horizontal="center" vertical="center" wrapText="1"/>
    </xf>
    <xf numFmtId="4" fontId="1" fillId="2" borderId="1" applyAlignment="1" pivotButton="0" quotePrefix="0" xfId="0">
      <alignment horizontal="center" vertical="center" wrapText="1"/>
    </xf>
    <xf numFmtId="17" fontId="3" fillId="3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170" fontId="2" fillId="4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2" fillId="4" borderId="1" applyAlignment="1" pivotButton="0" quotePrefix="1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69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71" fontId="2" fillId="4" borderId="1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72" fontId="2" fillId="4" borderId="1" applyAlignment="1" pivotButton="0" quotePrefix="0" xfId="0">
      <alignment horizontal="center" vertical="center"/>
    </xf>
    <xf numFmtId="173" fontId="2" fillId="4" borderId="1" applyAlignment="1" pivotButton="0" quotePrefix="1" xfId="0">
      <alignment horizontal="center" vertical="center"/>
    </xf>
    <xf numFmtId="173" fontId="2" fillId="4" borderId="1" applyAlignment="1" pivotButton="0" quotePrefix="0" xfId="0">
      <alignment horizontal="center" vertical="center"/>
    </xf>
    <xf numFmtId="17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174" fontId="2" fillId="4" borderId="1" applyAlignment="1" pivotButton="0" quotePrefix="0" xfId="0">
      <alignment horizontal="center" vertical="center" wrapText="1"/>
    </xf>
    <xf numFmtId="168" fontId="2" fillId="4" borderId="1" applyAlignment="1" pivotButton="0" quotePrefix="0" xfId="0">
      <alignment horizontal="center" vertical="center" wrapText="1"/>
    </xf>
    <xf numFmtId="167" fontId="2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169" fontId="2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 wrapText="1"/>
    </xf>
    <xf numFmtId="171" fontId="2" fillId="4" borderId="1" applyAlignment="1" pivotButton="0" quotePrefix="0" xfId="0">
      <alignment horizontal="center" vertical="center" wrapText="1"/>
    </xf>
    <xf numFmtId="170" fontId="2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174" fontId="2" fillId="4" borderId="3" applyAlignment="1" pivotButton="0" quotePrefix="0" xfId="0">
      <alignment horizontal="center" vertical="center"/>
    </xf>
    <xf numFmtId="168" fontId="2" fillId="4" borderId="3" applyAlignment="1" pivotButton="0" quotePrefix="0" xfId="0">
      <alignment horizontal="center" vertical="center"/>
    </xf>
    <xf numFmtId="167" fontId="2" fillId="4" borderId="3" applyAlignment="1" pivotButton="0" quotePrefix="0" xfId="0">
      <alignment horizontal="center" vertical="center"/>
    </xf>
    <xf numFmtId="169" fontId="2" fillId="4" borderId="3" applyAlignment="1" pivotButton="0" quotePrefix="0" xfId="0">
      <alignment horizontal="center" vertical="center"/>
    </xf>
    <xf numFmtId="2" fontId="2" fillId="4" borderId="3" applyAlignment="1" pivotButton="0" quotePrefix="0" xfId="0">
      <alignment horizontal="center" vertical="center"/>
    </xf>
    <xf numFmtId="171" fontId="2" fillId="4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165" fontId="4" fillId="3" borderId="2" applyAlignment="1" pivotButton="0" quotePrefix="0" xfId="0">
      <alignment horizontal="center" vertical="center" wrapText="1"/>
    </xf>
    <xf numFmtId="168" fontId="4" fillId="3" borderId="2" applyAlignment="1" pivotButton="0" quotePrefix="0" xfId="0">
      <alignment horizontal="center" vertical="center" wrapText="1"/>
    </xf>
    <xf numFmtId="3" fontId="4" fillId="3" borderId="2" applyAlignment="1" pivotButton="0" quotePrefix="0" xfId="0">
      <alignment horizontal="center" vertical="center" wrapText="1"/>
    </xf>
    <xf numFmtId="175" fontId="4" fillId="3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165" fontId="4" fillId="3" borderId="5" applyAlignment="1" pivotButton="0" quotePrefix="0" xfId="0">
      <alignment horizontal="center" vertical="center" wrapText="1"/>
    </xf>
    <xf numFmtId="168" fontId="4" fillId="3" borderId="5" applyAlignment="1" pivotButton="0" quotePrefix="0" xfId="0">
      <alignment horizontal="center" vertical="center" wrapText="1"/>
    </xf>
    <xf numFmtId="3" fontId="4" fillId="3" borderId="5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8" fontId="4" fillId="3" borderId="7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4" fontId="4" fillId="3" borderId="2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17" fontId="3" fillId="3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2" fontId="4" fillId="3" borderId="2" applyAlignment="1" pivotButton="0" quotePrefix="0" xfId="0">
      <alignment horizontal="center" vertical="center" wrapText="1"/>
    </xf>
    <xf numFmtId="1" fontId="4" fillId="3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76" fontId="4" fillId="0" borderId="2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3" fontId="4" fillId="3" borderId="7" applyAlignment="1" pivotButton="0" quotePrefix="0" xfId="0">
      <alignment horizontal="center" vertical="center" wrapText="1"/>
    </xf>
    <xf numFmtId="175" fontId="4" fillId="3" borderId="7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 wrapText="1"/>
    </xf>
    <xf numFmtId="175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3" fontId="4" fillId="0" borderId="7" applyAlignment="1" pivotButton="0" quotePrefix="0" xfId="0">
      <alignment horizontal="center" vertical="center" wrapText="1"/>
    </xf>
    <xf numFmtId="175" fontId="4" fillId="0" borderId="7" applyAlignment="1" pivotButton="0" quotePrefix="0" xfId="0">
      <alignment horizontal="center" vertical="center" wrapText="1"/>
    </xf>
    <xf numFmtId="17" fontId="3" fillId="3" borderId="8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 wrapText="1"/>
    </xf>
    <xf numFmtId="176" fontId="4" fillId="0" borderId="7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69" fontId="4" fillId="0" borderId="2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" fontId="4" fillId="3" borderId="7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169" fontId="4" fillId="0" borderId="7" applyAlignment="1" pivotButton="0" quotePrefix="0" xfId="0">
      <alignment horizontal="center" vertical="center"/>
    </xf>
    <xf numFmtId="3" fontId="4" fillId="3" borderId="7" applyAlignment="1" pivotButton="0" quotePrefix="0" xfId="0">
      <alignment horizontal="center" vertical="center" wrapText="1" readingOrder="1"/>
    </xf>
    <xf numFmtId="0" fontId="4" fillId="3" borderId="7" applyAlignment="1" pivotButton="0" quotePrefix="0" xfId="0">
      <alignment horizontal="center" vertical="center" wrapText="1" readingOrder="1"/>
    </xf>
    <xf numFmtId="175" fontId="4" fillId="3" borderId="7" applyAlignment="1" pivotButton="0" quotePrefix="0" xfId="0">
      <alignment horizontal="center" vertical="center" wrapText="1" readingOrder="1"/>
    </xf>
    <xf numFmtId="3" fontId="4" fillId="3" borderId="2" applyAlignment="1" pivotButton="0" quotePrefix="0" xfId="0">
      <alignment horizontal="center" vertical="center" wrapText="1" readingOrder="1"/>
    </xf>
    <xf numFmtId="175" fontId="4" fillId="3" borderId="2" applyAlignment="1" pivotButton="0" quotePrefix="0" xfId="0">
      <alignment horizontal="center" vertical="center" wrapText="1" readingOrder="1"/>
    </xf>
    <xf numFmtId="0" fontId="4" fillId="3" borderId="2" applyAlignment="1" pivotButton="0" quotePrefix="0" xfId="0">
      <alignment horizontal="center" vertical="center" wrapText="1" readingOrder="1"/>
    </xf>
    <xf numFmtId="3" fontId="4" fillId="3" borderId="2" applyAlignment="1" pivotButton="0" quotePrefix="0" xfId="0">
      <alignment horizontal="center" wrapText="1" readingOrder="1"/>
    </xf>
    <xf numFmtId="175" fontId="4" fillId="3" borderId="2" applyAlignment="1" pivotButton="0" quotePrefix="0" xfId="0">
      <alignment horizontal="center" wrapText="1" readingOrder="1"/>
    </xf>
    <xf numFmtId="0" fontId="4" fillId="3" borderId="2" applyAlignment="1" pivotButton="0" quotePrefix="0" xfId="0">
      <alignment horizontal="center" wrapText="1" readingOrder="1"/>
    </xf>
    <xf numFmtId="0" fontId="4" fillId="3" borderId="7" applyAlignment="1" pivotButton="0" quotePrefix="0" xfId="0">
      <alignment horizontal="center" wrapText="1" readingOrder="1"/>
    </xf>
    <xf numFmtId="0" fontId="4" fillId="3" borderId="7" applyAlignment="1" pivotButton="0" quotePrefix="0" xfId="0">
      <alignment horizontal="center" vertical="center"/>
    </xf>
    <xf numFmtId="3" fontId="4" fillId="3" borderId="7" applyAlignment="1" pivotButton="0" quotePrefix="0" xfId="0">
      <alignment horizontal="center" wrapText="1" readingOrder="1"/>
    </xf>
    <xf numFmtId="175" fontId="4" fillId="3" borderId="7" applyAlignment="1" pivotButton="0" quotePrefix="0" xfId="0">
      <alignment horizontal="center" wrapText="1" readingOrder="1"/>
    </xf>
    <xf numFmtId="175" fontId="4" fillId="0" borderId="2" applyAlignment="1" pivotButton="0" quotePrefix="0" xfId="0">
      <alignment horizontal="center" vertical="center"/>
    </xf>
    <xf numFmtId="17" fontId="3" fillId="6" borderId="2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D1" authorId="0" shapeId="0">
      <text>
        <t>======
ID#AAAAKAkAxOU
    (2020-07-22 07:07:45)
Tug Boat</t>
      </text>
    </comment>
    <comment ref="E1" authorId="0" shapeId="0">
      <text>
        <t>======
ID#AAAAKAkAxP0
    (2020-07-22 07:07:45)
Tongkang</t>
      </text>
    </comment>
    <comment ref="F1" authorId="0" shapeId="0">
      <text>
        <t>======
ID#AAAAKAkAxd4
    (2020-07-22 07:07:45)
mulai bongkar</t>
      </text>
    </comment>
    <comment ref="H1" authorId="0" shapeId="0">
      <text>
        <t>======
ID#AAAAKAkAxJc
    (2020-07-22 07:07:45)
(COW)</t>
      </text>
    </comment>
    <comment ref="N1" authorId="0" shapeId="0">
      <text>
        <t>======
ID#AAAAKAkAxMM
    (2020-07-22 07:07:45)
&lt;4000</t>
      </text>
    </comment>
    <comment ref="O1" authorId="0" shapeId="0">
      <text>
        <t>======
ID#AAAAKAkAxTA
    (2020-07-22 07:07:45)
&gt;37</t>
      </text>
    </comment>
    <comment ref="Q1" authorId="0" shapeId="0">
      <text>
        <t>======
ID#AAAAKAkAxK4
    (2020-07-22 07:07:45)
&gt;8</t>
      </text>
    </comment>
    <comment ref="X1" authorId="0" shapeId="0">
      <text>
        <t>======
ID#AAAAKAkAxII
    (2020-07-22 07:07:45)
&gt;0,5</t>
      </text>
    </comment>
    <comment ref="Z1" authorId="0" shapeId="0">
      <text>
        <t>======
ID#AAAAKAkAxII
    (2020-07-22 07:07:45)
&gt;0,5</t>
      </text>
    </comment>
    <comment ref="AK1" authorId="0" shapeId="0">
      <text>
        <t>======
ID#AAAAKAkAxPU
    (2020-07-22 07:07:45)
&lt;45 - &gt;65</t>
      </text>
    </comment>
    <comment ref="AN1" authorId="0" shapeId="0">
      <text>
        <t>======
ID#AAAAKAkAxVU
    (2020-07-22 07:07:45)
&lt;1100</t>
      </text>
    </comment>
    <comment ref="BA1" authorId="0" shapeId="0">
      <text>
        <t>======
ID#AAAAKAkAxHs
    (2020-07-22 07:07:45)
&lt;95%</t>
      </text>
    </comment>
    <comment ref="BD1" authorId="0" shapeId="0">
      <text>
        <t>======
ID#AAAAKAkAxYw
    (2020-07-22 07:07:45)
&gt;27%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1"/>
  <sheetViews>
    <sheetView tabSelected="1" workbookViewId="0">
      <selection activeCell="E12" sqref="E12"/>
    </sheetView>
  </sheetViews>
  <sheetFormatPr baseColWidth="8" defaultRowHeight="15"/>
  <cols>
    <col width="8" bestFit="1" customWidth="1" style="111" min="1" max="1"/>
    <col width="10" customWidth="1" style="111" min="2" max="2"/>
    <col width="23.7109375" bestFit="1" customWidth="1" style="111" min="3" max="3"/>
    <col width="23.42578125" bestFit="1" customWidth="1" style="111" min="4" max="4"/>
    <col width="24.42578125" bestFit="1" customWidth="1" style="111" min="5" max="5"/>
    <col width="15.85546875" bestFit="1" customWidth="1" style="111" min="6" max="7"/>
    <col width="10.140625" bestFit="1" customWidth="1" style="111" min="8" max="8"/>
    <col width="23.7109375" bestFit="1" customWidth="1" style="111" min="9" max="9"/>
    <col width="17.7109375" bestFit="1" customWidth="1" style="111" min="10" max="10"/>
    <col width="12.140625" bestFit="1" customWidth="1" style="111" min="11" max="11"/>
    <col width="9" bestFit="1" customWidth="1" style="111" min="12" max="14"/>
    <col width="6.5703125" bestFit="1" customWidth="1" style="111" min="15" max="15"/>
    <col width="8.140625" bestFit="1" customWidth="1" style="111" min="17" max="19"/>
    <col width="6.5703125" bestFit="1" customWidth="1" style="111" min="20" max="21"/>
    <col width="8.85546875" bestFit="1" customWidth="1" style="111" min="22" max="23"/>
    <col width="7.85546875" bestFit="1" customWidth="1" style="111" min="24" max="29"/>
    <col width="8" bestFit="1" customWidth="1" style="111" min="30" max="31"/>
    <col width="8.140625" bestFit="1" customWidth="1" style="111" min="32" max="36"/>
    <col width="6.7109375" bestFit="1" customWidth="1" style="111" min="37" max="37"/>
    <col width="8.5703125" bestFit="1" customWidth="1" style="111" min="38" max="39"/>
    <col width="6.5703125" bestFit="1" customWidth="1" style="111" min="41" max="42"/>
    <col width="6.42578125" bestFit="1" customWidth="1" style="111" min="43" max="43"/>
    <col width="6.5703125" bestFit="1" customWidth="1" style="111" min="44" max="46"/>
    <col width="6.42578125" bestFit="1" customWidth="1" style="111" min="47" max="51"/>
    <col width="7.42578125" bestFit="1" customWidth="1" style="111" min="52" max="52"/>
    <col width="8.28515625" bestFit="1" customWidth="1" style="111" min="53" max="55"/>
    <col width="6.5703125" bestFit="1" customWidth="1" style="111" min="56" max="56"/>
    <col width="17" bestFit="1" customWidth="1" style="111" min="57" max="57"/>
    <col width="25.28515625" bestFit="1" customWidth="1" style="111" min="58" max="58"/>
    <col width="17.5703125" bestFit="1" customWidth="1" style="111" min="59" max="59"/>
  </cols>
  <sheetData>
    <row r="1" ht="60" customHeight="1" s="111">
      <c r="A1" s="1" t="inlineStr">
        <is>
          <t>Periode</t>
        </is>
      </c>
      <c r="B1" s="2" t="inlineStr">
        <is>
          <t>Shipment</t>
        </is>
      </c>
      <c r="C1" s="2" t="inlineStr">
        <is>
          <t>Suppliers</t>
        </is>
      </c>
      <c r="D1" s="2" t="inlineStr">
        <is>
          <t>TB</t>
        </is>
      </c>
      <c r="E1" s="2" t="inlineStr">
        <is>
          <t>BG</t>
        </is>
      </c>
      <c r="F1" s="3" t="inlineStr">
        <is>
          <t>Commenced Unloading</t>
        </is>
      </c>
      <c r="G1" s="3" t="inlineStr">
        <is>
          <t>Completed Unloading</t>
        </is>
      </c>
      <c r="H1" s="4" t="inlineStr">
        <is>
          <t>DS (MT)</t>
        </is>
      </c>
      <c r="I1" s="4" t="inlineStr">
        <is>
          <t>Surveyor Unloading</t>
        </is>
      </c>
      <c r="J1" s="4" t="inlineStr">
        <is>
          <t>NO.COW</t>
        </is>
      </c>
      <c r="K1" s="5" t="inlineStr">
        <is>
          <t>Tgl Terbit COW</t>
        </is>
      </c>
      <c r="L1" s="6" t="inlineStr">
        <is>
          <t>GCV (Kcal/Kg)
ARB</t>
        </is>
      </c>
      <c r="M1" s="6" t="inlineStr">
        <is>
          <t>GCV (Kcal/Kg)
ADB</t>
        </is>
      </c>
      <c r="N1" s="6" t="inlineStr">
        <is>
          <t>GCV (Kcal/Kg)
DB</t>
        </is>
      </c>
      <c r="O1" s="7" t="inlineStr">
        <is>
          <t>TM (%wt)
ARB</t>
        </is>
      </c>
      <c r="P1" s="7" t="inlineStr">
        <is>
          <t>IM (%wt) 
ADB</t>
        </is>
      </c>
      <c r="Q1" s="7" t="inlineStr">
        <is>
          <t>Ash 
Content (%wt) 
ARB</t>
        </is>
      </c>
      <c r="R1" s="7" t="inlineStr">
        <is>
          <t>Ash 
Content (%wt)
ADB</t>
        </is>
      </c>
      <c r="S1" s="7" t="inlineStr">
        <is>
          <t>Ash 
Content (%wt)
DB</t>
        </is>
      </c>
      <c r="T1" s="7" t="inlineStr">
        <is>
          <t>VM (%wt)
ARB</t>
        </is>
      </c>
      <c r="U1" s="7" t="inlineStr">
        <is>
          <t>VM (%wt)
ADB</t>
        </is>
      </c>
      <c r="V1" s="7" t="inlineStr">
        <is>
          <t>FC (%wt)
ARB</t>
        </is>
      </c>
      <c r="W1" s="7" t="inlineStr">
        <is>
          <t>FC (%wt)
ADB</t>
        </is>
      </c>
      <c r="X1" s="7" t="inlineStr">
        <is>
          <t>Total Sulphur (%wt)
ARB</t>
        </is>
      </c>
      <c r="Y1" s="7" t="inlineStr">
        <is>
          <t>Total Sulphur (%wt)
ADB</t>
        </is>
      </c>
      <c r="Z1" s="7" t="inlineStr">
        <is>
          <t>Total Sulphur (%wt)
DB</t>
        </is>
      </c>
      <c r="AA1" s="7" t="inlineStr">
        <is>
          <t>Total Sulphur (%wt)
DAFB</t>
        </is>
      </c>
      <c r="AB1" s="7" t="inlineStr">
        <is>
          <t>C (%wt)
ARB</t>
        </is>
      </c>
      <c r="AC1" s="7" t="inlineStr">
        <is>
          <t>C (%wt)
ADB</t>
        </is>
      </c>
      <c r="AD1" s="7" t="inlineStr">
        <is>
          <t>H (%wt)
ARB</t>
        </is>
      </c>
      <c r="AE1" s="7" t="inlineStr">
        <is>
          <t>H (%wt)
ADB</t>
        </is>
      </c>
      <c r="AF1" s="7" t="inlineStr">
        <is>
          <t>N (%wt)
ARB</t>
        </is>
      </c>
      <c r="AG1" s="7" t="inlineStr">
        <is>
          <t>N (%wt)
ADB</t>
        </is>
      </c>
      <c r="AH1" s="7" t="inlineStr">
        <is>
          <t>N (%wt)
DAFB</t>
        </is>
      </c>
      <c r="AI1" s="7" t="inlineStr">
        <is>
          <t>O (%wt)
ARB</t>
        </is>
      </c>
      <c r="AJ1" s="7" t="inlineStr">
        <is>
          <t>O (%wt)
ADB</t>
        </is>
      </c>
      <c r="AK1" s="6" t="inlineStr">
        <is>
          <t>HGI (Point Index)</t>
        </is>
      </c>
      <c r="AL1" s="8" t="inlineStr">
        <is>
          <t>Slagging (Index)</t>
        </is>
      </c>
      <c r="AM1" s="8" t="inlineStr">
        <is>
          <t>Fouling (Index)</t>
        </is>
      </c>
      <c r="AN1" s="6" t="inlineStr">
        <is>
          <t>IDT Reducing (C°)</t>
        </is>
      </c>
      <c r="AO1" s="7" t="inlineStr">
        <is>
          <t>SiO2 (%DB)</t>
        </is>
      </c>
      <c r="AP1" s="7" t="inlineStr">
        <is>
          <t>Al2O3 (%DB)</t>
        </is>
      </c>
      <c r="AQ1" s="7" t="inlineStr">
        <is>
          <t>TiO2 (%DB)</t>
        </is>
      </c>
      <c r="AR1" s="7" t="inlineStr">
        <is>
          <t>Fe2O3 (%DB)</t>
        </is>
      </c>
      <c r="AS1" s="7" t="inlineStr">
        <is>
          <t>CaO (%DB)</t>
        </is>
      </c>
      <c r="AT1" s="7" t="inlineStr">
        <is>
          <t>MgO (%DB)</t>
        </is>
      </c>
      <c r="AU1" s="7" t="inlineStr">
        <is>
          <t>K2O (%DB)</t>
        </is>
      </c>
      <c r="AV1" s="7" t="inlineStr">
        <is>
          <t>Na2O (%DB)</t>
        </is>
      </c>
      <c r="AW1" s="7" t="inlineStr">
        <is>
          <t>SO3 (%DB)</t>
        </is>
      </c>
      <c r="AX1" s="7" t="inlineStr">
        <is>
          <t>P2O5 (%DB)</t>
        </is>
      </c>
      <c r="AY1" s="7" t="inlineStr">
        <is>
          <t>MnO2 (%DB)</t>
        </is>
      </c>
      <c r="AZ1" s="7" t="inlineStr">
        <is>
          <t>Mn3O4 (%DB)</t>
        </is>
      </c>
      <c r="BA1" s="7" t="inlineStr">
        <is>
          <t>&lt; 70 mm (%wt)</t>
        </is>
      </c>
      <c r="BB1" s="7" t="inlineStr">
        <is>
          <t>&lt; 50 mm (%wt)</t>
        </is>
      </c>
      <c r="BC1" s="7" t="inlineStr">
        <is>
          <t>&lt; 32 mm (%wt)</t>
        </is>
      </c>
      <c r="BD1" s="7" t="inlineStr">
        <is>
          <t>&lt; 2,38 mm (%wt)</t>
        </is>
      </c>
      <c r="BE1" s="9" t="inlineStr">
        <is>
          <t>NO. COA</t>
        </is>
      </c>
      <c r="BF1" s="5" t="inlineStr">
        <is>
          <t>Tgl Terbit COA</t>
        </is>
      </c>
      <c r="BG1" s="2" t="inlineStr">
        <is>
          <t>Pembongkaran</t>
        </is>
      </c>
    </row>
    <row r="2">
      <c r="A2" s="10">
        <f>EOMONTH(G2,-1)+1</f>
        <v/>
      </c>
      <c r="B2" s="11" t="n">
        <v>555</v>
      </c>
      <c r="C2" s="11" t="inlineStr">
        <is>
          <t>PT DEMO SUPPLIER 1</t>
        </is>
      </c>
      <c r="D2" s="11" t="inlineStr">
        <is>
          <t>MAJU DAYA 81</t>
        </is>
      </c>
      <c r="E2" s="11" t="inlineStr">
        <is>
          <t>MARCOPOLO 278</t>
        </is>
      </c>
      <c r="F2" s="12" t="n">
        <v>44045.41319444445</v>
      </c>
      <c r="G2" s="12" t="n">
        <v>44046.59375</v>
      </c>
      <c r="H2" s="13" t="n">
        <v>5626.021</v>
      </c>
      <c r="I2" s="11" t="inlineStr">
        <is>
          <t>PT GEOSERVICES</t>
        </is>
      </c>
      <c r="J2" s="14" t="inlineStr">
        <is>
          <t>COA-DEMO-0001</t>
        </is>
      </c>
      <c r="K2" s="15" t="n">
        <v>44046</v>
      </c>
      <c r="L2" s="16" t="n">
        <v>4006</v>
      </c>
      <c r="M2" s="16" t="n"/>
      <c r="N2" s="16" t="n">
        <v>6290</v>
      </c>
      <c r="O2" s="16" t="n">
        <v>36.31</v>
      </c>
      <c r="P2" s="16" t="n">
        <v>13.55</v>
      </c>
      <c r="Q2" s="16" t="n">
        <v>5.13</v>
      </c>
      <c r="R2" s="16" t="n">
        <v>6.96</v>
      </c>
      <c r="S2" s="16" t="n">
        <v>8.050000000000001</v>
      </c>
      <c r="T2" s="16" t="n">
        <v>30.77</v>
      </c>
      <c r="U2" s="16" t="n">
        <v>41.77</v>
      </c>
      <c r="V2" s="16" t="n">
        <v>27.79</v>
      </c>
      <c r="W2" s="16" t="n">
        <v>37.72</v>
      </c>
      <c r="X2" s="16" t="n">
        <v>0.23</v>
      </c>
      <c r="Y2" s="16" t="n"/>
      <c r="Z2" s="16" t="n">
        <v>0.36</v>
      </c>
      <c r="AA2" s="16" t="n">
        <v>0.39</v>
      </c>
      <c r="AB2" s="16" t="n">
        <v>41.39</v>
      </c>
      <c r="AC2" s="16" t="n">
        <v>56.18</v>
      </c>
      <c r="AD2" s="16" t="n">
        <v>4.18</v>
      </c>
      <c r="AE2" s="16" t="n">
        <v>5.68</v>
      </c>
      <c r="AF2" s="16" t="n">
        <v>0.66</v>
      </c>
      <c r="AG2" s="16" t="n">
        <v>0.9</v>
      </c>
      <c r="AH2" s="16" t="inlineStr">
        <is>
          <t>-</t>
        </is>
      </c>
      <c r="AI2" s="16" t="n">
        <v>12.1</v>
      </c>
      <c r="AJ2" s="16" t="n">
        <v>16.42</v>
      </c>
      <c r="AK2" s="17" t="n">
        <v>51</v>
      </c>
      <c r="AL2" s="11" t="inlineStr">
        <is>
          <t>LOW</t>
        </is>
      </c>
      <c r="AM2" s="11" t="inlineStr">
        <is>
          <t>LOW</t>
        </is>
      </c>
      <c r="AN2" s="11" t="n">
        <v>1160</v>
      </c>
      <c r="AO2" s="18" t="n">
        <v>39.21</v>
      </c>
      <c r="AP2" s="18" t="n">
        <v>27.51</v>
      </c>
      <c r="AQ2" s="18" t="n">
        <v>0.6</v>
      </c>
      <c r="AR2" s="18" t="n">
        <v>17.03</v>
      </c>
      <c r="AS2" s="18" t="n">
        <v>9.859999999999999</v>
      </c>
      <c r="AT2" s="18" t="n">
        <v>1.49</v>
      </c>
      <c r="AU2" s="18" t="n">
        <v>0.19</v>
      </c>
      <c r="AV2" s="18" t="n">
        <v>0.32</v>
      </c>
      <c r="AW2" s="18" t="n">
        <v>2.24</v>
      </c>
      <c r="AX2" s="18" t="n">
        <v>0.63</v>
      </c>
      <c r="AY2" s="18" t="inlineStr">
        <is>
          <t>-</t>
        </is>
      </c>
      <c r="AZ2" s="18" t="n">
        <v>0.68</v>
      </c>
      <c r="BA2" s="18" t="n">
        <v>98.84999999999999</v>
      </c>
      <c r="BB2" s="18" t="n">
        <v>90.7</v>
      </c>
      <c r="BC2" s="18" t="n">
        <v>79.59999999999999</v>
      </c>
      <c r="BD2" s="18" t="n">
        <v>25</v>
      </c>
      <c r="BE2" s="14" t="inlineStr">
        <is>
          <t>COA-DEMO-0001</t>
        </is>
      </c>
      <c r="BF2" s="19" t="n">
        <v>44053</v>
      </c>
      <c r="BG2" s="20" t="inlineStr">
        <is>
          <t>Jetty Eksisting</t>
        </is>
      </c>
    </row>
    <row r="3">
      <c r="A3" s="10">
        <f>EOMONTH(G3,-1)+1</f>
        <v/>
      </c>
      <c r="B3" s="11" t="n">
        <v>556</v>
      </c>
      <c r="C3" s="11" t="inlineStr">
        <is>
          <t>PT DEMO SUPPLIER 2</t>
        </is>
      </c>
      <c r="D3" s="11" t="inlineStr">
        <is>
          <t>ADOVELIN</t>
        </is>
      </c>
      <c r="E3" s="11" t="inlineStr">
        <is>
          <t>TIMUR 12</t>
        </is>
      </c>
      <c r="F3" s="12" t="n">
        <v>44046.6875</v>
      </c>
      <c r="G3" s="12" t="n">
        <v>44047.71527777778</v>
      </c>
      <c r="H3" s="13" t="n">
        <v>5040.677</v>
      </c>
      <c r="I3" s="11" t="inlineStr">
        <is>
          <t>PT GEOSERVICES</t>
        </is>
      </c>
      <c r="J3" s="14" t="inlineStr">
        <is>
          <t>COA-DEMO-0002</t>
        </is>
      </c>
      <c r="K3" s="15" t="n">
        <v>44054</v>
      </c>
      <c r="L3" s="16" t="n">
        <v>3612</v>
      </c>
      <c r="M3" s="16" t="n"/>
      <c r="N3" s="16" t="n">
        <v>6096</v>
      </c>
      <c r="O3" s="16" t="n">
        <v>40.76</v>
      </c>
      <c r="P3" s="16" t="n">
        <v>15.64</v>
      </c>
      <c r="Q3" s="16" t="n">
        <v>6.48</v>
      </c>
      <c r="R3" s="16" t="n">
        <v>9.23</v>
      </c>
      <c r="S3" s="16" t="n">
        <v>10.94</v>
      </c>
      <c r="T3" s="16" t="n">
        <v>27.04</v>
      </c>
      <c r="U3" s="16" t="n">
        <v>38.51</v>
      </c>
      <c r="V3" s="16" t="n">
        <v>25.72</v>
      </c>
      <c r="W3" s="16" t="n">
        <v>36.62</v>
      </c>
      <c r="X3" s="16" t="n">
        <v>0.34</v>
      </c>
      <c r="Y3" s="16" t="n"/>
      <c r="Z3" s="16" t="n">
        <v>0.57</v>
      </c>
      <c r="AA3" s="16" t="n">
        <v>0.64</v>
      </c>
      <c r="AB3" s="16" t="n">
        <v>37.79</v>
      </c>
      <c r="AC3" s="16" t="n">
        <v>53.81</v>
      </c>
      <c r="AD3" s="16" t="n">
        <v>2.75</v>
      </c>
      <c r="AE3" s="16" t="n">
        <v>3.91</v>
      </c>
      <c r="AF3" s="16" t="n">
        <v>0.67</v>
      </c>
      <c r="AG3" s="16" t="n">
        <v>0.96</v>
      </c>
      <c r="AH3" s="16" t="inlineStr">
        <is>
          <t>-</t>
        </is>
      </c>
      <c r="AI3" s="16" t="n">
        <v>11.21</v>
      </c>
      <c r="AJ3" s="16" t="n">
        <v>15.97</v>
      </c>
      <c r="AK3" s="17" t="n">
        <v>51</v>
      </c>
      <c r="AL3" s="11" t="inlineStr">
        <is>
          <t>LOW</t>
        </is>
      </c>
      <c r="AM3" s="11" t="inlineStr">
        <is>
          <t>LOW</t>
        </is>
      </c>
      <c r="AN3" s="11" t="n">
        <v>1215</v>
      </c>
      <c r="AO3" s="18" t="n">
        <v>42.99</v>
      </c>
      <c r="AP3" s="18" t="n">
        <v>23.47</v>
      </c>
      <c r="AQ3" s="18" t="n">
        <v>0.7</v>
      </c>
      <c r="AR3" s="18" t="n">
        <v>14.46</v>
      </c>
      <c r="AS3" s="18" t="n">
        <v>7.5</v>
      </c>
      <c r="AT3" s="18" t="n">
        <v>1.55</v>
      </c>
      <c r="AU3" s="18" t="n">
        <v>0.97</v>
      </c>
      <c r="AV3" s="18" t="n">
        <v>0.2</v>
      </c>
      <c r="AW3" s="18" t="n">
        <v>5.81</v>
      </c>
      <c r="AX3" s="18" t="n">
        <v>0.2</v>
      </c>
      <c r="AY3" s="18" t="inlineStr">
        <is>
          <t>-</t>
        </is>
      </c>
      <c r="AZ3" s="18" t="n">
        <v>0.435</v>
      </c>
      <c r="BA3" s="18" t="n">
        <v>98.7</v>
      </c>
      <c r="BB3" s="18" t="n">
        <v>90.59</v>
      </c>
      <c r="BC3" s="18" t="n">
        <v>79.7</v>
      </c>
      <c r="BD3" s="18" t="n">
        <v>23.9</v>
      </c>
      <c r="BE3" s="11" t="inlineStr">
        <is>
          <t>COA-DEMO-0002</t>
        </is>
      </c>
      <c r="BF3" s="19" t="n">
        <v>44054</v>
      </c>
      <c r="BG3" s="20" t="inlineStr">
        <is>
          <t>Jetty Eksisting</t>
        </is>
      </c>
    </row>
    <row r="4">
      <c r="A4" s="10">
        <f>EOMONTH(G4,-1)+1</f>
        <v/>
      </c>
      <c r="B4" s="11" t="n">
        <v>557</v>
      </c>
      <c r="C4" s="11" t="inlineStr">
        <is>
          <t>PT DEMO SUPPLIER 3</t>
        </is>
      </c>
      <c r="D4" s="11" t="inlineStr">
        <is>
          <t>BOJOMA 01</t>
        </is>
      </c>
      <c r="E4" s="11" t="inlineStr">
        <is>
          <t>FLY POWER 2705</t>
        </is>
      </c>
      <c r="F4" s="12" t="n">
        <v>44052.70833333334</v>
      </c>
      <c r="G4" s="12" t="n">
        <v>44055.45833333334</v>
      </c>
      <c r="H4" s="13" t="n">
        <v>5310.946</v>
      </c>
      <c r="I4" s="11" t="inlineStr">
        <is>
          <t>PT GEOSERVICES</t>
        </is>
      </c>
      <c r="J4" s="11" t="inlineStr">
        <is>
          <t>COA-DEMO-0003</t>
        </is>
      </c>
      <c r="K4" s="15" t="n">
        <v>44055</v>
      </c>
      <c r="L4" s="16" t="n">
        <v>3822</v>
      </c>
      <c r="M4" s="16" t="n"/>
      <c r="N4" s="16" t="n">
        <v>6404</v>
      </c>
      <c r="O4" s="16" t="n">
        <v>40.32</v>
      </c>
      <c r="P4" s="16" t="n">
        <v>17.26</v>
      </c>
      <c r="Q4" s="16" t="n">
        <v>3.89</v>
      </c>
      <c r="R4" s="16" t="n">
        <v>5.39</v>
      </c>
      <c r="S4" s="16" t="n">
        <v>6.51</v>
      </c>
      <c r="T4" s="16" t="n">
        <v>30.27</v>
      </c>
      <c r="U4" s="16" t="n">
        <v>41.97</v>
      </c>
      <c r="V4" s="16" t="n">
        <v>25.52</v>
      </c>
      <c r="W4" s="16" t="n">
        <v>35.38</v>
      </c>
      <c r="X4" s="16" t="n">
        <v>0.12</v>
      </c>
      <c r="Y4" s="16" t="n"/>
      <c r="Z4" s="16" t="n">
        <v>0.21</v>
      </c>
      <c r="AA4" s="16" t="n">
        <v>0.22</v>
      </c>
      <c r="AB4" s="16" t="n">
        <v>40.15</v>
      </c>
      <c r="AC4" s="16" t="n">
        <v>55.66</v>
      </c>
      <c r="AD4" s="16" t="n">
        <v>2.97</v>
      </c>
      <c r="AE4" s="16" t="n">
        <v>4.12</v>
      </c>
      <c r="AF4" s="16" t="n">
        <v>0.5600000000000001</v>
      </c>
      <c r="AG4" s="16" t="n">
        <v>0.77</v>
      </c>
      <c r="AH4" s="16" t="inlineStr">
        <is>
          <t>-</t>
        </is>
      </c>
      <c r="AI4" s="16" t="n">
        <v>12</v>
      </c>
      <c r="AJ4" s="16" t="n">
        <v>16.63</v>
      </c>
      <c r="AK4" s="17" t="n">
        <v>55</v>
      </c>
      <c r="AL4" s="11" t="inlineStr">
        <is>
          <t>LOW</t>
        </is>
      </c>
      <c r="AM4" s="11" t="inlineStr">
        <is>
          <t>LOW</t>
        </is>
      </c>
      <c r="AN4" s="11" t="n">
        <v>1170</v>
      </c>
      <c r="AO4" s="18" t="n">
        <v>33.23</v>
      </c>
      <c r="AP4" s="18" t="n">
        <v>14.56</v>
      </c>
      <c r="AQ4" s="18" t="n">
        <v>0.34</v>
      </c>
      <c r="AR4" s="18" t="n">
        <v>19.61</v>
      </c>
      <c r="AS4" s="18" t="n">
        <v>18.36</v>
      </c>
      <c r="AT4" s="18" t="n">
        <v>5.38</v>
      </c>
      <c r="AU4" s="18" t="n">
        <v>0.59</v>
      </c>
      <c r="AV4" s="18" t="n">
        <v>0.44</v>
      </c>
      <c r="AW4" s="18" t="n">
        <v>5.18</v>
      </c>
      <c r="AX4" s="18" t="n">
        <v>0.29</v>
      </c>
      <c r="AY4" s="18" t="inlineStr">
        <is>
          <t>-</t>
        </is>
      </c>
      <c r="AZ4" s="18" t="n">
        <v>0.43</v>
      </c>
      <c r="BA4" s="18" t="n">
        <v>98.52</v>
      </c>
      <c r="BB4" s="18" t="n">
        <v>90.52</v>
      </c>
      <c r="BC4" s="18" t="n">
        <v>79.55</v>
      </c>
      <c r="BD4" s="18" t="n">
        <v>23.47</v>
      </c>
      <c r="BE4" s="11" t="inlineStr">
        <is>
          <t>COA-DEMO-0003</t>
        </is>
      </c>
      <c r="BF4" s="19" t="n">
        <v>44062</v>
      </c>
      <c r="BG4" s="20" t="inlineStr">
        <is>
          <t>Jetty Eksisting</t>
        </is>
      </c>
    </row>
    <row r="5">
      <c r="A5" s="10">
        <f>EOMONTH(G5,-1)+1</f>
        <v/>
      </c>
      <c r="B5" s="11" t="n">
        <v>558</v>
      </c>
      <c r="C5" s="11" t="inlineStr">
        <is>
          <t>PT DEMO SUPPLIER 3</t>
        </is>
      </c>
      <c r="D5" s="11" t="inlineStr">
        <is>
          <t>MOMENTUM 07</t>
        </is>
      </c>
      <c r="E5" s="11" t="inlineStr">
        <is>
          <t>MULTI 2701</t>
        </is>
      </c>
      <c r="F5" s="12" t="n">
        <v>44056.42083333333</v>
      </c>
      <c r="G5" s="12" t="n">
        <v>44057.81944444445</v>
      </c>
      <c r="H5" s="13" t="n">
        <v>5735.277</v>
      </c>
      <c r="I5" s="11" t="inlineStr">
        <is>
          <t>PT GEOSERVICES</t>
        </is>
      </c>
      <c r="J5" s="11" t="inlineStr">
        <is>
          <t>COA-DEMO-0004</t>
        </is>
      </c>
      <c r="K5" s="15" t="n">
        <v>44057</v>
      </c>
      <c r="L5" s="16" t="n">
        <v>3846</v>
      </c>
      <c r="M5" s="16" t="n"/>
      <c r="N5" s="16" t="n">
        <v>6418</v>
      </c>
      <c r="O5" s="16" t="n">
        <v>40.08</v>
      </c>
      <c r="P5" s="16" t="n">
        <v>16.97</v>
      </c>
      <c r="Q5" s="16" t="n">
        <v>3.62</v>
      </c>
      <c r="R5" s="16" t="n">
        <v>5.01</v>
      </c>
      <c r="S5" s="16" t="n">
        <v>6.03</v>
      </c>
      <c r="T5" s="16" t="n">
        <v>30.43</v>
      </c>
      <c r="U5" s="16" t="n">
        <v>42.16</v>
      </c>
      <c r="V5" s="16" t="n">
        <v>25.88</v>
      </c>
      <c r="W5" s="16" t="n">
        <v>35.86</v>
      </c>
      <c r="X5" s="16" t="n">
        <v>0.14</v>
      </c>
      <c r="Y5" s="16" t="n"/>
      <c r="Z5" s="16" t="n">
        <v>0.24</v>
      </c>
      <c r="AA5" s="16" t="n">
        <v>0.26</v>
      </c>
      <c r="AB5" s="16" t="n">
        <v>40.36</v>
      </c>
      <c r="AC5" s="16" t="n">
        <v>55.93</v>
      </c>
      <c r="AD5" s="16" t="n">
        <v>2.97</v>
      </c>
      <c r="AE5" s="16" t="n">
        <v>4.11</v>
      </c>
      <c r="AF5" s="16" t="n">
        <v>0.5600000000000001</v>
      </c>
      <c r="AG5" s="16" t="n">
        <v>0.78</v>
      </c>
      <c r="AH5" s="16" t="inlineStr">
        <is>
          <t>-</t>
        </is>
      </c>
      <c r="AI5" s="16" t="n">
        <v>12.27</v>
      </c>
      <c r="AJ5" s="16" t="n">
        <v>17</v>
      </c>
      <c r="AK5" s="17" t="n">
        <v>56</v>
      </c>
      <c r="AL5" s="11" t="inlineStr">
        <is>
          <t>LOW</t>
        </is>
      </c>
      <c r="AM5" s="11" t="inlineStr">
        <is>
          <t>LOW</t>
        </is>
      </c>
      <c r="AN5" s="11" t="n">
        <v>1160</v>
      </c>
      <c r="AO5" s="18" t="n">
        <v>34.06</v>
      </c>
      <c r="AP5" s="18" t="n">
        <v>15.21</v>
      </c>
      <c r="AQ5" s="18" t="n">
        <v>0.33</v>
      </c>
      <c r="AR5" s="18" t="n">
        <v>19.97</v>
      </c>
      <c r="AS5" s="18" t="n">
        <v>18.42</v>
      </c>
      <c r="AT5" s="18" t="n">
        <v>5.31</v>
      </c>
      <c r="AU5" s="18" t="n">
        <v>0.52</v>
      </c>
      <c r="AV5" s="18" t="n">
        <v>0.46</v>
      </c>
      <c r="AW5" s="18" t="n">
        <v>5.24</v>
      </c>
      <c r="AX5" s="18" t="n">
        <v>0.296</v>
      </c>
      <c r="AY5" s="18" t="inlineStr">
        <is>
          <t>-</t>
        </is>
      </c>
      <c r="AZ5" s="18" t="n">
        <v>0.425</v>
      </c>
      <c r="BA5" s="18" t="n">
        <v>98.88500000000001</v>
      </c>
      <c r="BB5" s="18" t="n">
        <v>90.54000000000001</v>
      </c>
      <c r="BC5" s="18" t="n">
        <v>79.76000000000001</v>
      </c>
      <c r="BD5" s="18" t="n">
        <v>23.64</v>
      </c>
      <c r="BE5" s="11" t="inlineStr">
        <is>
          <t>COA-DEMO-0004</t>
        </is>
      </c>
      <c r="BF5" s="19" t="n">
        <v>44064</v>
      </c>
      <c r="BG5" s="20" t="inlineStr">
        <is>
          <t>Jetty Eksisting</t>
        </is>
      </c>
    </row>
    <row r="6">
      <c r="A6" s="10">
        <f>EOMONTH(G6,-1)+1</f>
        <v/>
      </c>
      <c r="B6" s="11" t="n">
        <v>559</v>
      </c>
      <c r="C6" s="11" t="inlineStr">
        <is>
          <t>PT DEMO SUPPLIER 3</t>
        </is>
      </c>
      <c r="D6" s="11" t="inlineStr">
        <is>
          <t>MERPATI 2701</t>
        </is>
      </c>
      <c r="E6" s="11" t="inlineStr">
        <is>
          <t>RAJAWALI 2701</t>
        </is>
      </c>
      <c r="F6" s="12" t="n">
        <v>44068.50694444445</v>
      </c>
      <c r="G6" s="12" t="n">
        <v>44069.61111111111</v>
      </c>
      <c r="H6" s="13" t="n">
        <v>5073.602</v>
      </c>
      <c r="I6" s="11" t="inlineStr">
        <is>
          <t>PT GEOSERVICES</t>
        </is>
      </c>
      <c r="J6" s="11" t="inlineStr">
        <is>
          <t>COA-DEMO-0005</t>
        </is>
      </c>
      <c r="K6" s="15" t="n">
        <v>44069</v>
      </c>
      <c r="L6" s="16" t="n">
        <v>3545</v>
      </c>
      <c r="M6" s="16" t="n"/>
      <c r="N6" s="16" t="n">
        <v>6148</v>
      </c>
      <c r="O6" s="16" t="n">
        <v>42.33</v>
      </c>
      <c r="P6" s="16" t="n">
        <v>16.23</v>
      </c>
      <c r="Q6" s="16" t="n">
        <v>5.69</v>
      </c>
      <c r="R6" s="16" t="n">
        <v>8.27</v>
      </c>
      <c r="S6" s="16" t="n">
        <v>9.869999999999999</v>
      </c>
      <c r="T6" s="16" t="n">
        <v>27.5</v>
      </c>
      <c r="U6" s="16" t="n">
        <v>39.95</v>
      </c>
      <c r="V6" s="16" t="n">
        <v>24.47</v>
      </c>
      <c r="W6" s="16" t="n">
        <v>35.55</v>
      </c>
      <c r="X6" s="16" t="n">
        <v>0.21</v>
      </c>
      <c r="Y6" s="16" t="n"/>
      <c r="Z6" s="16" t="n">
        <v>0.36</v>
      </c>
      <c r="AA6" s="16" t="n">
        <v>0.4</v>
      </c>
      <c r="AB6" s="16" t="n">
        <v>37.29</v>
      </c>
      <c r="AC6" s="16" t="n">
        <v>54.17</v>
      </c>
      <c r="AD6" s="16" t="n">
        <v>2.77</v>
      </c>
      <c r="AE6" s="16" t="n">
        <v>4.03</v>
      </c>
      <c r="AF6" s="16" t="n">
        <v>0.53</v>
      </c>
      <c r="AG6" s="16" t="n">
        <v>0.77</v>
      </c>
      <c r="AH6" s="16" t="inlineStr">
        <is>
          <t>-</t>
        </is>
      </c>
      <c r="AI6" s="16" t="n">
        <v>11.17</v>
      </c>
      <c r="AJ6" s="16" t="n">
        <v>16.23</v>
      </c>
      <c r="AK6" s="17" t="n">
        <v>51</v>
      </c>
      <c r="AL6" s="11" t="inlineStr">
        <is>
          <t>LOW</t>
        </is>
      </c>
      <c r="AM6" s="11" t="inlineStr">
        <is>
          <t>LOW</t>
        </is>
      </c>
      <c r="AN6" s="11" t="n">
        <v>1170</v>
      </c>
      <c r="AO6" s="18" t="n">
        <v>34.33</v>
      </c>
      <c r="AP6" s="18" t="n">
        <v>22.08</v>
      </c>
      <c r="AQ6" s="18" t="n">
        <v>0.67</v>
      </c>
      <c r="AR6" s="18" t="n">
        <v>15.73</v>
      </c>
      <c r="AS6" s="18" t="n">
        <v>16.34</v>
      </c>
      <c r="AT6" s="18" t="n">
        <v>3.08</v>
      </c>
      <c r="AU6" s="18" t="n">
        <v>0.52</v>
      </c>
      <c r="AV6" s="18" t="n">
        <v>0.74</v>
      </c>
      <c r="AW6" s="18" t="n">
        <v>4.82</v>
      </c>
      <c r="AX6" s="18" t="n">
        <v>0.11</v>
      </c>
      <c r="AY6" s="18" t="inlineStr">
        <is>
          <t>-</t>
        </is>
      </c>
      <c r="AZ6" s="18" t="n">
        <v>0.96</v>
      </c>
      <c r="BA6" s="18" t="n">
        <v>92.95</v>
      </c>
      <c r="BB6" s="18" t="n">
        <v>84.29000000000001</v>
      </c>
      <c r="BC6" s="18" t="n">
        <v>73.91</v>
      </c>
      <c r="BD6" s="18" t="n">
        <v>28.08</v>
      </c>
      <c r="BE6" s="11" t="inlineStr">
        <is>
          <t>COA-DEMO-0005</t>
        </is>
      </c>
      <c r="BF6" s="19" t="n">
        <v>44075</v>
      </c>
      <c r="BG6" s="20" t="inlineStr">
        <is>
          <t>Jetty Eksisting</t>
        </is>
      </c>
    </row>
    <row r="7">
      <c r="A7" s="10">
        <f>EOMONTH(G7,-1)+1</f>
        <v/>
      </c>
      <c r="B7" s="11" t="n">
        <v>560</v>
      </c>
      <c r="C7" s="11" t="inlineStr">
        <is>
          <t>PT DEMO SUPPLIER 3</t>
        </is>
      </c>
      <c r="D7" s="11" t="inlineStr">
        <is>
          <t>LL MASERATII 03</t>
        </is>
      </c>
      <c r="E7" s="11" t="inlineStr">
        <is>
          <t>LL 2712</t>
        </is>
      </c>
      <c r="F7" s="12" t="n">
        <v>44069.71875</v>
      </c>
      <c r="G7" s="12" t="n">
        <v>44070.9375</v>
      </c>
      <c r="H7" s="13" t="n">
        <v>5525.172</v>
      </c>
      <c r="I7" s="11" t="inlineStr">
        <is>
          <t>PT GEOSERVICES</t>
        </is>
      </c>
      <c r="J7" s="11" t="inlineStr">
        <is>
          <t>COA-DEMO-0006</t>
        </is>
      </c>
      <c r="K7" s="15" t="n">
        <v>44070</v>
      </c>
      <c r="L7" s="16" t="n">
        <v>4018</v>
      </c>
      <c r="M7" s="16" t="n"/>
      <c r="N7" s="16" t="n">
        <v>6529</v>
      </c>
      <c r="O7" s="16" t="n">
        <v>38.46</v>
      </c>
      <c r="P7" s="16" t="n">
        <v>21.31</v>
      </c>
      <c r="Q7" s="16" t="n">
        <v>3.19</v>
      </c>
      <c r="R7" s="16" t="n">
        <v>4.08</v>
      </c>
      <c r="S7" s="16" t="n">
        <v>5.18</v>
      </c>
      <c r="T7" s="16" t="n">
        <v>31.44</v>
      </c>
      <c r="U7" s="16" t="n">
        <v>40.2</v>
      </c>
      <c r="V7" s="16" t="n">
        <v>26.91</v>
      </c>
      <c r="W7" s="16" t="n">
        <v>34.41</v>
      </c>
      <c r="X7" s="16" t="n">
        <v>0.15</v>
      </c>
      <c r="Y7" s="16" t="n"/>
      <c r="Z7" s="16" t="n">
        <v>0.24</v>
      </c>
      <c r="AA7" s="16" t="n">
        <v>0.25</v>
      </c>
      <c r="AB7" s="16" t="n">
        <v>41.97</v>
      </c>
      <c r="AC7" s="16" t="n">
        <v>53.66</v>
      </c>
      <c r="AD7" s="16" t="n">
        <v>3.04</v>
      </c>
      <c r="AE7" s="16" t="n">
        <v>3.89</v>
      </c>
      <c r="AF7" s="16" t="n">
        <v>0.6</v>
      </c>
      <c r="AG7" s="16" t="n">
        <v>0.77</v>
      </c>
      <c r="AH7" s="16" t="inlineStr">
        <is>
          <t>-</t>
        </is>
      </c>
      <c r="AI7" s="16" t="n">
        <v>12.59</v>
      </c>
      <c r="AJ7" s="16" t="n">
        <v>16.1</v>
      </c>
      <c r="AK7" s="17" t="n">
        <v>56</v>
      </c>
      <c r="AL7" s="11" t="inlineStr">
        <is>
          <t>LOW</t>
        </is>
      </c>
      <c r="AM7" s="11" t="inlineStr">
        <is>
          <t>MEDIUM</t>
        </is>
      </c>
      <c r="AN7" s="11" t="n">
        <v>1170</v>
      </c>
      <c r="AO7" s="18" t="n">
        <v>31.79</v>
      </c>
      <c r="AP7" s="18" t="n">
        <v>19.02</v>
      </c>
      <c r="AQ7" s="18" t="n">
        <v>0.6</v>
      </c>
      <c r="AR7" s="18" t="n">
        <v>16.78</v>
      </c>
      <c r="AS7" s="18" t="n">
        <v>19.46</v>
      </c>
      <c r="AT7" s="18" t="n">
        <v>3.57</v>
      </c>
      <c r="AU7" s="18" t="n">
        <v>0.43</v>
      </c>
      <c r="AV7" s="18" t="n">
        <v>0.65</v>
      </c>
      <c r="AW7" s="18" t="n">
        <v>5.42</v>
      </c>
      <c r="AX7" s="18" t="n">
        <v>0.12</v>
      </c>
      <c r="AY7" s="18" t="inlineStr">
        <is>
          <t>-</t>
        </is>
      </c>
      <c r="AZ7" s="18" t="n">
        <v>1.14</v>
      </c>
      <c r="BA7" s="18" t="n">
        <v>96.79000000000001</v>
      </c>
      <c r="BB7" s="18" t="n">
        <v>88.95</v>
      </c>
      <c r="BC7" s="18" t="n">
        <v>76.5</v>
      </c>
      <c r="BD7" s="18" t="n">
        <v>24.58</v>
      </c>
      <c r="BE7" s="11" t="inlineStr">
        <is>
          <t>COA-DEMO-0006</t>
        </is>
      </c>
      <c r="BF7" s="19" t="n">
        <v>44077</v>
      </c>
      <c r="BG7" s="20" t="inlineStr">
        <is>
          <t>Jetty Eksisting</t>
        </is>
      </c>
    </row>
    <row r="8">
      <c r="A8" s="10">
        <f>EOMONTH(G8,-1)+1</f>
        <v/>
      </c>
      <c r="B8" s="11" t="n">
        <v>561</v>
      </c>
      <c r="C8" s="11" t="inlineStr">
        <is>
          <t>PT DEMO SUPPLIER 3</t>
        </is>
      </c>
      <c r="D8" s="11" t="inlineStr">
        <is>
          <t>BOJOMA 01</t>
        </is>
      </c>
      <c r="E8" s="11" t="inlineStr">
        <is>
          <t>FLY POWER 2705</t>
        </is>
      </c>
      <c r="F8" s="12" t="n">
        <v>44070.99652777778</v>
      </c>
      <c r="G8" s="12" t="n">
        <v>44072.26041666666</v>
      </c>
      <c r="H8" s="13" t="n">
        <v>5420.154</v>
      </c>
      <c r="I8" s="11" t="inlineStr">
        <is>
          <t>PT GEOSERVICES</t>
        </is>
      </c>
      <c r="J8" s="11" t="inlineStr">
        <is>
          <t>COA-DEMO-0007</t>
        </is>
      </c>
      <c r="K8" s="15" t="n">
        <v>44072</v>
      </c>
      <c r="L8" s="16" t="n">
        <v>3937</v>
      </c>
      <c r="M8" s="16" t="n"/>
      <c r="N8" s="16" t="n">
        <v>6359</v>
      </c>
      <c r="O8" s="16" t="n">
        <v>38.08</v>
      </c>
      <c r="P8" s="16" t="n">
        <v>22.31</v>
      </c>
      <c r="Q8" s="16" t="n">
        <v>5.13</v>
      </c>
      <c r="R8" s="16" t="n">
        <v>6.44</v>
      </c>
      <c r="S8" s="16" t="n">
        <v>8.289999999999999</v>
      </c>
      <c r="T8" s="16" t="n">
        <v>30.29</v>
      </c>
      <c r="U8" s="16" t="n">
        <v>38</v>
      </c>
      <c r="V8" s="16" t="n">
        <v>26.5</v>
      </c>
      <c r="W8" s="16" t="n">
        <v>33.25</v>
      </c>
      <c r="X8" s="16" t="n">
        <v>0.27</v>
      </c>
      <c r="Y8" s="16" t="n"/>
      <c r="Z8" s="16" t="n">
        <v>0.44</v>
      </c>
      <c r="AA8" s="16" t="n">
        <v>0.48</v>
      </c>
      <c r="AB8" s="16" t="n">
        <v>41.17</v>
      </c>
      <c r="AC8" s="16" t="n">
        <v>51.66</v>
      </c>
      <c r="AD8" s="16" t="n">
        <v>2.98</v>
      </c>
      <c r="AE8" s="16" t="n">
        <v>3.74</v>
      </c>
      <c r="AF8" s="16" t="n">
        <v>0.65</v>
      </c>
      <c r="AG8" s="16" t="n">
        <v>0.82</v>
      </c>
      <c r="AH8" s="16" t="inlineStr">
        <is>
          <t>-</t>
        </is>
      </c>
      <c r="AI8" s="16" t="n">
        <v>11.71</v>
      </c>
      <c r="AJ8" s="16" t="n">
        <v>14.69</v>
      </c>
      <c r="AK8" s="17" t="n">
        <v>56</v>
      </c>
      <c r="AL8" s="11" t="inlineStr">
        <is>
          <t>LOW</t>
        </is>
      </c>
      <c r="AM8" s="11" t="inlineStr">
        <is>
          <t>MEDIUM</t>
        </is>
      </c>
      <c r="AN8" s="11" t="n">
        <v>1250</v>
      </c>
      <c r="AO8" s="18" t="n">
        <v>33.78</v>
      </c>
      <c r="AP8" s="18" t="n">
        <v>16.03</v>
      </c>
      <c r="AQ8" s="18" t="n">
        <v>0.42</v>
      </c>
      <c r="AR8" s="18" t="n">
        <v>19.59</v>
      </c>
      <c r="AS8" s="18" t="n">
        <v>18.26</v>
      </c>
      <c r="AT8" s="18" t="n">
        <v>5.09</v>
      </c>
      <c r="AU8" s="18" t="n">
        <v>0.53</v>
      </c>
      <c r="AV8" s="18" t="n">
        <v>0.44</v>
      </c>
      <c r="AW8" s="18" t="n">
        <v>5.28</v>
      </c>
      <c r="AX8" s="18" t="n">
        <v>0.287</v>
      </c>
      <c r="AY8" s="18" t="inlineStr">
        <is>
          <t>-</t>
        </is>
      </c>
      <c r="AZ8" s="18" t="n">
        <v>0.439</v>
      </c>
      <c r="BA8" s="18" t="n">
        <v>97.83</v>
      </c>
      <c r="BB8" s="18" t="n">
        <v>89.7</v>
      </c>
      <c r="BC8" s="18" t="n">
        <v>77.5</v>
      </c>
      <c r="BD8" s="18" t="n">
        <v>23.91</v>
      </c>
      <c r="BE8" s="11" t="inlineStr">
        <is>
          <t>COA-DEMO-0007</t>
        </is>
      </c>
      <c r="BF8" s="19" t="n">
        <v>44077</v>
      </c>
      <c r="BG8" s="20" t="inlineStr">
        <is>
          <t>Jetty Eksisting</t>
        </is>
      </c>
    </row>
    <row r="9">
      <c r="A9" s="10">
        <f>EOMONTH(G9,-1)+1</f>
        <v/>
      </c>
      <c r="B9" s="11" t="n">
        <v>562</v>
      </c>
      <c r="C9" s="11" t="inlineStr">
        <is>
          <t>PT DEMO SUPPLIER 2</t>
        </is>
      </c>
      <c r="D9" s="11" t="inlineStr">
        <is>
          <t>MEGA DAYA 51</t>
        </is>
      </c>
      <c r="E9" s="11" t="inlineStr">
        <is>
          <t>MARCOPOLO 2528</t>
        </is>
      </c>
      <c r="F9" s="12" t="n">
        <v>44072.34027777778</v>
      </c>
      <c r="G9" s="12" t="n">
        <v>44073.57638888889</v>
      </c>
      <c r="H9" s="13" t="n">
        <v>5288.158</v>
      </c>
      <c r="I9" s="11" t="inlineStr">
        <is>
          <t>PT GEOSERVICES</t>
        </is>
      </c>
      <c r="J9" s="11" t="inlineStr">
        <is>
          <t>COA-DEMO-0008</t>
        </is>
      </c>
      <c r="K9" s="15" t="n">
        <v>44073</v>
      </c>
      <c r="L9" s="16" t="n">
        <v>4020</v>
      </c>
      <c r="M9" s="16" t="n"/>
      <c r="N9" s="16" t="n">
        <v>6219</v>
      </c>
      <c r="O9" s="16" t="n">
        <v>35.36</v>
      </c>
      <c r="P9" s="16" t="n">
        <v>16.5</v>
      </c>
      <c r="Q9" s="16" t="n">
        <v>7.22</v>
      </c>
      <c r="R9" s="16" t="n">
        <v>9.33</v>
      </c>
      <c r="S9" s="16" t="n">
        <v>11.17</v>
      </c>
      <c r="T9" s="16" t="n">
        <v>29</v>
      </c>
      <c r="U9" s="16" t="n">
        <v>37.46</v>
      </c>
      <c r="V9" s="16" t="n">
        <v>28.42</v>
      </c>
      <c r="W9" s="16" t="n">
        <v>36.71</v>
      </c>
      <c r="X9" s="16" t="n">
        <v>0.39</v>
      </c>
      <c r="Y9" s="16" t="n"/>
      <c r="Z9" s="16" t="n">
        <v>0.61</v>
      </c>
      <c r="AA9" s="16" t="n">
        <v>0.51</v>
      </c>
      <c r="AB9" s="16" t="n">
        <v>41.98</v>
      </c>
      <c r="AC9" s="16" t="n">
        <v>54.23</v>
      </c>
      <c r="AD9" s="16" t="n">
        <v>3.18</v>
      </c>
      <c r="AE9" s="16" t="n">
        <v>4.11</v>
      </c>
      <c r="AF9" s="16" t="n">
        <v>0.72</v>
      </c>
      <c r="AG9" s="16" t="n">
        <v>0.93</v>
      </c>
      <c r="AH9" s="16" t="inlineStr">
        <is>
          <t>-</t>
        </is>
      </c>
      <c r="AI9" s="16" t="n">
        <v>11.14</v>
      </c>
      <c r="AJ9" s="16" t="n">
        <v>14.39</v>
      </c>
      <c r="AK9" s="17" t="n">
        <v>52</v>
      </c>
      <c r="AL9" s="11" t="inlineStr">
        <is>
          <t>LOW</t>
        </is>
      </c>
      <c r="AM9" s="11" t="inlineStr">
        <is>
          <t>LOW</t>
        </is>
      </c>
      <c r="AN9" s="11" t="n">
        <v>1240</v>
      </c>
      <c r="AO9" s="18" t="n">
        <v>44.17</v>
      </c>
      <c r="AP9" s="18" t="n">
        <v>23.26</v>
      </c>
      <c r="AQ9" s="18" t="n">
        <v>0.78</v>
      </c>
      <c r="AR9" s="18" t="n">
        <v>13.38</v>
      </c>
      <c r="AS9" s="18" t="n">
        <v>8.609999999999999</v>
      </c>
      <c r="AT9" s="18" t="n">
        <v>1.47</v>
      </c>
      <c r="AU9" s="18" t="n">
        <v>0.96</v>
      </c>
      <c r="AV9" s="18" t="n">
        <v>0.24</v>
      </c>
      <c r="AW9" s="18" t="n">
        <v>5.51</v>
      </c>
      <c r="AX9" s="18" t="n">
        <v>0.211</v>
      </c>
      <c r="AY9" s="18" t="inlineStr">
        <is>
          <t>-</t>
        </is>
      </c>
      <c r="AZ9" s="18" t="n">
        <v>0.431</v>
      </c>
      <c r="BA9" s="18" t="n">
        <v>96.25</v>
      </c>
      <c r="BB9" s="18" t="n">
        <v>87.77</v>
      </c>
      <c r="BC9" s="18" t="n">
        <v>76.40000000000001</v>
      </c>
      <c r="BD9" s="18" t="n">
        <v>24.45</v>
      </c>
      <c r="BE9" s="11" t="inlineStr">
        <is>
          <t>COA-DEMO-0008</t>
        </is>
      </c>
      <c r="BF9" s="19" t="n">
        <v>44081</v>
      </c>
      <c r="BG9" s="20" t="inlineStr">
        <is>
          <t>Jetty Eksisting</t>
        </is>
      </c>
    </row>
    <row r="10">
      <c r="A10" s="10">
        <f>EOMONTH(G10,-1)+1</f>
        <v/>
      </c>
      <c r="B10" s="11" t="n">
        <v>563</v>
      </c>
      <c r="C10" s="11" t="inlineStr">
        <is>
          <t>PT DEMO SUPPLIER 3</t>
        </is>
      </c>
      <c r="D10" s="11" t="inlineStr">
        <is>
          <t>SINAR SEJAHTERA 128</t>
        </is>
      </c>
      <c r="E10" s="11" t="inlineStr">
        <is>
          <t>CAPRICORN 41</t>
        </is>
      </c>
      <c r="F10" s="12" t="n">
        <v>44073.66319444445</v>
      </c>
      <c r="G10" s="12" t="n">
        <v>44074.8125</v>
      </c>
      <c r="H10" s="13" t="n">
        <v>5561.553</v>
      </c>
      <c r="I10" s="11" t="inlineStr">
        <is>
          <t>PT GEOSERVICES</t>
        </is>
      </c>
      <c r="J10" s="11" t="inlineStr">
        <is>
          <t>COA-DEMO-0009</t>
        </is>
      </c>
      <c r="K10" s="15" t="n">
        <v>44074</v>
      </c>
      <c r="L10" s="16" t="n">
        <v>4203</v>
      </c>
      <c r="M10" s="16" t="n"/>
      <c r="N10" s="16" t="n">
        <v>6290</v>
      </c>
      <c r="O10" s="16" t="n">
        <v>33.17</v>
      </c>
      <c r="P10" s="16" t="n">
        <v>12.92</v>
      </c>
      <c r="Q10" s="16" t="n">
        <v>8.199999999999999</v>
      </c>
      <c r="R10" s="16" t="n">
        <v>10.68</v>
      </c>
      <c r="S10" s="16" t="n">
        <v>12.26</v>
      </c>
      <c r="T10" s="16" t="n">
        <v>28.48</v>
      </c>
      <c r="U10" s="16" t="n">
        <v>37.11</v>
      </c>
      <c r="V10" s="16" t="n">
        <v>30.15</v>
      </c>
      <c r="W10" s="16" t="n">
        <v>39.29</v>
      </c>
      <c r="X10" s="16" t="n">
        <v>0.52</v>
      </c>
      <c r="Y10" s="16" t="n"/>
      <c r="Z10" s="16" t="n">
        <v>0.78</v>
      </c>
      <c r="AA10" s="16" t="n">
        <v>0.89</v>
      </c>
      <c r="AB10" s="16" t="n">
        <v>43.1</v>
      </c>
      <c r="AC10" s="16" t="n">
        <v>56.16</v>
      </c>
      <c r="AD10" s="16" t="n">
        <v>3.14</v>
      </c>
      <c r="AE10" s="16" t="n">
        <v>4.09</v>
      </c>
      <c r="AF10" s="16" t="n">
        <v>0.93</v>
      </c>
      <c r="AG10" s="16" t="n">
        <v>1.21</v>
      </c>
      <c r="AH10" s="16" t="inlineStr">
        <is>
          <t>-</t>
        </is>
      </c>
      <c r="AI10" s="16" t="n">
        <v>10.94</v>
      </c>
      <c r="AJ10" s="16" t="n">
        <v>14.26</v>
      </c>
      <c r="AK10" s="17" t="n">
        <v>51</v>
      </c>
      <c r="AL10" s="11" t="inlineStr">
        <is>
          <t>LOW</t>
        </is>
      </c>
      <c r="AM10" s="11" t="inlineStr">
        <is>
          <t>LOW</t>
        </is>
      </c>
      <c r="AN10" s="11" t="n">
        <v>1220</v>
      </c>
      <c r="AO10" s="18" t="n">
        <v>44.35</v>
      </c>
      <c r="AP10" s="18" t="n">
        <v>22.05</v>
      </c>
      <c r="AQ10" s="18" t="n">
        <v>0.8100000000000001</v>
      </c>
      <c r="AR10" s="18" t="n">
        <v>14.4</v>
      </c>
      <c r="AS10" s="18" t="n">
        <v>10.02</v>
      </c>
      <c r="AT10" s="18" t="n">
        <v>1.43</v>
      </c>
      <c r="AU10" s="18" t="n">
        <v>0.91</v>
      </c>
      <c r="AV10" s="18" t="n">
        <v>0.23</v>
      </c>
      <c r="AW10" s="18" t="n">
        <v>5.29</v>
      </c>
      <c r="AX10" s="18" t="n">
        <v>0.217</v>
      </c>
      <c r="AY10" s="18" t="inlineStr">
        <is>
          <t>-</t>
        </is>
      </c>
      <c r="AZ10" s="18" t="n">
        <v>0.43</v>
      </c>
      <c r="BA10" s="18" t="n">
        <v>96.37</v>
      </c>
      <c r="BB10" s="18" t="n">
        <v>88.76000000000001</v>
      </c>
      <c r="BC10" s="18" t="n">
        <v>78.2</v>
      </c>
      <c r="BD10" s="18" t="n">
        <v>23</v>
      </c>
      <c r="BE10" s="11" t="inlineStr">
        <is>
          <t>COA-DEMO-0009</t>
        </is>
      </c>
      <c r="BF10" s="19" t="n">
        <v>44081</v>
      </c>
      <c r="BG10" s="20" t="inlineStr">
        <is>
          <t>Jetty Eksisting</t>
        </is>
      </c>
    </row>
    <row r="11">
      <c r="A11" s="10">
        <f>EOMONTH(G11,-1)+1</f>
        <v/>
      </c>
      <c r="B11" s="11" t="inlineStr">
        <is>
          <t>Lot 24</t>
        </is>
      </c>
      <c r="C11" s="11" t="inlineStr">
        <is>
          <t>PT DEMO SUPPLIER 4</t>
        </is>
      </c>
      <c r="D11" s="11" t="inlineStr">
        <is>
          <t>DUMP TRUCK</t>
        </is>
      </c>
      <c r="E11" s="11" t="inlineStr">
        <is>
          <t>DUMP TRUCK</t>
        </is>
      </c>
      <c r="F11" s="12" t="n">
        <v>44072</v>
      </c>
      <c r="G11" s="12" t="n">
        <v>44076.66666666666</v>
      </c>
      <c r="H11" s="13" t="n">
        <v>5150.17</v>
      </c>
      <c r="I11" s="11" t="inlineStr">
        <is>
          <t>PT GEOSERVICES</t>
        </is>
      </c>
      <c r="J11" s="14" t="inlineStr">
        <is>
          <t>COA-DEMO-0010</t>
        </is>
      </c>
      <c r="K11" s="15" t="n">
        <v>44084</v>
      </c>
      <c r="L11" s="16" t="n">
        <v>4121</v>
      </c>
      <c r="M11" s="16" t="n"/>
      <c r="N11" s="16" t="n">
        <v>6473</v>
      </c>
      <c r="O11" s="16" t="n">
        <v>36.33</v>
      </c>
      <c r="P11" s="16" t="n">
        <v>14.84</v>
      </c>
      <c r="Q11" s="16" t="n">
        <v>5.32</v>
      </c>
      <c r="R11" s="16" t="n">
        <v>7.12</v>
      </c>
      <c r="S11" s="16" t="n">
        <v>8.359999999999999</v>
      </c>
      <c r="T11" s="16" t="n">
        <v>29.38</v>
      </c>
      <c r="U11" s="16" t="n">
        <v>39.29</v>
      </c>
      <c r="V11" s="16" t="n">
        <v>28.97</v>
      </c>
      <c r="W11" s="16" t="n">
        <v>38.75</v>
      </c>
      <c r="X11" s="16" t="n">
        <v>0.29</v>
      </c>
      <c r="Y11" s="16" t="n"/>
      <c r="Z11" s="16" t="n">
        <v>0.46</v>
      </c>
      <c r="AA11" s="16" t="n">
        <v>0.5</v>
      </c>
      <c r="AB11" s="16" t="n">
        <v>42.83</v>
      </c>
      <c r="AC11" s="16" t="n">
        <v>57.29</v>
      </c>
      <c r="AD11" s="16" t="n">
        <v>3.15</v>
      </c>
      <c r="AE11" s="16" t="n">
        <v>4.21</v>
      </c>
      <c r="AF11" s="16" t="n">
        <v>0.83</v>
      </c>
      <c r="AG11" s="16" t="n">
        <v>1.11</v>
      </c>
      <c r="AH11" s="16" t="n">
        <v>1.42</v>
      </c>
      <c r="AI11" s="16" t="n">
        <v>11.24</v>
      </c>
      <c r="AJ11" s="16" t="n">
        <v>15.04</v>
      </c>
      <c r="AK11" s="17" t="n">
        <v>52</v>
      </c>
      <c r="AL11" s="11" t="inlineStr">
        <is>
          <t>LOW</t>
        </is>
      </c>
      <c r="AM11" s="11" t="inlineStr">
        <is>
          <t>LOW</t>
        </is>
      </c>
      <c r="AN11" s="11" t="n">
        <v>1250</v>
      </c>
      <c r="AO11" s="18" t="n">
        <v>44.11</v>
      </c>
      <c r="AP11" s="18" t="n">
        <v>20.98</v>
      </c>
      <c r="AQ11" s="18" t="n">
        <v>0.71</v>
      </c>
      <c r="AR11" s="18" t="n">
        <v>15.07</v>
      </c>
      <c r="AS11" s="18" t="n">
        <v>10.43</v>
      </c>
      <c r="AT11" s="18" t="n">
        <v>1.54</v>
      </c>
      <c r="AU11" s="18" t="n">
        <v>0.93</v>
      </c>
      <c r="AV11" s="18" t="n">
        <v>0.25</v>
      </c>
      <c r="AW11" s="18" t="n">
        <v>5.42</v>
      </c>
      <c r="AX11" s="18" t="n">
        <v>0.219</v>
      </c>
      <c r="AY11" s="18" t="inlineStr">
        <is>
          <t>-</t>
        </is>
      </c>
      <c r="AZ11" s="18" t="n">
        <v>0.433</v>
      </c>
      <c r="BA11" s="18" t="n">
        <v>99.44</v>
      </c>
      <c r="BB11" s="18" t="n">
        <v>93.45999999999999</v>
      </c>
      <c r="BC11" s="18" t="n">
        <v>78.67</v>
      </c>
      <c r="BD11" s="18" t="n">
        <v>24.11</v>
      </c>
      <c r="BE11" s="14" t="inlineStr">
        <is>
          <t>COA-DEMO-0010</t>
        </is>
      </c>
      <c r="BF11" s="19" t="n">
        <v>44084</v>
      </c>
      <c r="BG11" s="20" t="inlineStr">
        <is>
          <t>Moda Trucking</t>
        </is>
      </c>
    </row>
    <row r="12">
      <c r="A12" s="10">
        <f>EOMONTH(G12,-1)+1</f>
        <v/>
      </c>
      <c r="B12" s="11" t="n">
        <v>564</v>
      </c>
      <c r="C12" s="11" t="inlineStr">
        <is>
          <t>PT DEMO SUPPLIER 3</t>
        </is>
      </c>
      <c r="D12" s="11" t="inlineStr">
        <is>
          <t>TANJUNG BAHARI 19</t>
        </is>
      </c>
      <c r="E12" s="11" t="inlineStr">
        <is>
          <t>BAHARI 2711</t>
        </is>
      </c>
      <c r="F12" s="12" t="n">
        <v>44077.11805555555</v>
      </c>
      <c r="G12" s="12" t="n">
        <v>44078.52777777778</v>
      </c>
      <c r="H12" s="13" t="n">
        <v>5833.369</v>
      </c>
      <c r="I12" s="11" t="inlineStr">
        <is>
          <t>PT GEOSERVICES</t>
        </is>
      </c>
      <c r="J12" s="14" t="inlineStr">
        <is>
          <t>COA-DEMO-0011</t>
        </is>
      </c>
      <c r="K12" s="15" t="n">
        <v>44078</v>
      </c>
      <c r="L12" s="16" t="n">
        <v>3793</v>
      </c>
      <c r="M12" s="16" t="n"/>
      <c r="N12" s="16" t="n">
        <v>6152</v>
      </c>
      <c r="O12" s="16" t="n">
        <v>38.34</v>
      </c>
      <c r="P12" s="16" t="n">
        <v>13.62</v>
      </c>
      <c r="Q12" s="16" t="n">
        <v>7.64</v>
      </c>
      <c r="R12" s="16" t="n">
        <v>10.7</v>
      </c>
      <c r="S12" s="16" t="n">
        <v>12.39</v>
      </c>
      <c r="T12" s="16" t="n">
        <v>27.35</v>
      </c>
      <c r="U12" s="16" t="n">
        <v>38.31</v>
      </c>
      <c r="V12" s="16" t="n">
        <v>26.68</v>
      </c>
      <c r="W12" s="16" t="n">
        <v>37.37</v>
      </c>
      <c r="X12" s="16" t="n">
        <v>0.45</v>
      </c>
      <c r="Y12" s="16" t="n"/>
      <c r="Z12" s="16" t="n">
        <v>0.73</v>
      </c>
      <c r="AA12" s="16" t="n">
        <v>0.83</v>
      </c>
      <c r="AB12" s="16" t="n">
        <v>39.81</v>
      </c>
      <c r="AC12" s="16" t="n">
        <v>55.77</v>
      </c>
      <c r="AD12" s="16" t="n">
        <v>2.86</v>
      </c>
      <c r="AE12" s="16" t="n">
        <v>4.01</v>
      </c>
      <c r="AF12" s="16" t="n">
        <v>0.83</v>
      </c>
      <c r="AG12" s="16" t="n">
        <v>1.16</v>
      </c>
      <c r="AH12" s="16" t="n">
        <v>1.53</v>
      </c>
      <c r="AI12" s="16" t="n">
        <v>12.13</v>
      </c>
      <c r="AJ12" s="16" t="n">
        <v>17</v>
      </c>
      <c r="AK12" s="17" t="n">
        <v>50</v>
      </c>
      <c r="AL12" s="11" t="inlineStr">
        <is>
          <t>LOW</t>
        </is>
      </c>
      <c r="AM12" s="11" t="inlineStr">
        <is>
          <t>LOW</t>
        </is>
      </c>
      <c r="AN12" s="11" t="n">
        <v>1250</v>
      </c>
      <c r="AO12" s="18" t="n">
        <v>42.16</v>
      </c>
      <c r="AP12" s="18" t="n">
        <v>20.14</v>
      </c>
      <c r="AQ12" s="18" t="n">
        <v>0.75</v>
      </c>
      <c r="AR12" s="18" t="n">
        <v>16.26</v>
      </c>
      <c r="AS12" s="18" t="n">
        <v>11.13</v>
      </c>
      <c r="AT12" s="18" t="n">
        <v>2.51</v>
      </c>
      <c r="AU12" s="18" t="n">
        <v>0.78</v>
      </c>
      <c r="AV12" s="18" t="n">
        <v>0.38</v>
      </c>
      <c r="AW12" s="18" t="n">
        <v>4.93</v>
      </c>
      <c r="AX12" s="18" t="n">
        <v>0.224</v>
      </c>
      <c r="AY12" s="18" t="inlineStr">
        <is>
          <t>-</t>
        </is>
      </c>
      <c r="AZ12" s="18" t="n">
        <v>0.41</v>
      </c>
      <c r="BA12" s="18" t="n">
        <v>98.36</v>
      </c>
      <c r="BB12" s="18" t="n">
        <v>93.31999999999999</v>
      </c>
      <c r="BC12" s="18" t="n">
        <v>81.97</v>
      </c>
      <c r="BD12" s="18" t="n">
        <v>21.2</v>
      </c>
      <c r="BE12" s="14" t="inlineStr">
        <is>
          <t>COA-DEMO-0011</t>
        </is>
      </c>
      <c r="BF12" s="19" t="n">
        <v>44085</v>
      </c>
      <c r="BG12" s="20" t="inlineStr">
        <is>
          <t>Jetty Eksisting</t>
        </is>
      </c>
    </row>
    <row r="13">
      <c r="A13" s="10">
        <f>EOMONTH(G13,-1)+1</f>
        <v/>
      </c>
      <c r="B13" s="11" t="n">
        <v>565</v>
      </c>
      <c r="C13" s="11" t="inlineStr">
        <is>
          <t>PT DEMO SUPPLIER 2</t>
        </is>
      </c>
      <c r="D13" s="11" t="inlineStr">
        <is>
          <t>CAPRICORN 42</t>
        </is>
      </c>
      <c r="E13" s="11" t="inlineStr">
        <is>
          <t>CAPRICORN 43</t>
        </is>
      </c>
      <c r="F13" s="12" t="n">
        <v>44079.53472222222</v>
      </c>
      <c r="G13" s="12" t="n">
        <v>44080.61111111111</v>
      </c>
      <c r="H13" s="13" t="n">
        <v>5250.445</v>
      </c>
      <c r="I13" s="11" t="inlineStr">
        <is>
          <t>PT GEOSERVICES</t>
        </is>
      </c>
      <c r="J13" s="11" t="inlineStr">
        <is>
          <t>COA-DEMO-0012</t>
        </is>
      </c>
      <c r="K13" s="15" t="n">
        <v>44080</v>
      </c>
      <c r="L13" s="16" t="n">
        <v>3865</v>
      </c>
      <c r="M13" s="16" t="n"/>
      <c r="N13" s="16" t="n">
        <v>6111</v>
      </c>
      <c r="O13" s="16" t="n">
        <v>36.76</v>
      </c>
      <c r="P13" s="16" t="n">
        <v>13.96</v>
      </c>
      <c r="Q13" s="16" t="n">
        <v>7.73</v>
      </c>
      <c r="R13" s="16" t="n">
        <v>10.52</v>
      </c>
      <c r="S13" s="16" t="n">
        <v>12.23</v>
      </c>
      <c r="T13" s="16" t="n">
        <v>28.59</v>
      </c>
      <c r="U13" s="16" t="n">
        <v>38.9</v>
      </c>
      <c r="V13" s="16" t="n">
        <v>26.92</v>
      </c>
      <c r="W13" s="16" t="n">
        <v>36.62</v>
      </c>
      <c r="X13" s="16" t="n">
        <v>0.29</v>
      </c>
      <c r="Y13" s="16" t="n"/>
      <c r="Z13" s="16" t="n">
        <v>0.46</v>
      </c>
      <c r="AA13" s="16" t="n">
        <v>0.4</v>
      </c>
      <c r="AB13" s="16" t="n">
        <v>40.53</v>
      </c>
      <c r="AC13" s="16" t="n">
        <v>55.14</v>
      </c>
      <c r="AD13" s="16" t="n">
        <v>2.94</v>
      </c>
      <c r="AE13" s="16" t="n">
        <v>4</v>
      </c>
      <c r="AF13" s="16" t="n">
        <v>0.79</v>
      </c>
      <c r="AG13" s="16" t="n">
        <v>1.07</v>
      </c>
      <c r="AH13" s="16" t="n">
        <v>1.42</v>
      </c>
      <c r="AI13" s="16" t="n">
        <v>10.96</v>
      </c>
      <c r="AJ13" s="16" t="n">
        <v>14.91</v>
      </c>
      <c r="AK13" s="17" t="n">
        <v>50</v>
      </c>
      <c r="AL13" s="11" t="inlineStr">
        <is>
          <t>LOW</t>
        </is>
      </c>
      <c r="AM13" s="11" t="inlineStr">
        <is>
          <t>LOW</t>
        </is>
      </c>
      <c r="AN13" s="11" t="n">
        <v>1220</v>
      </c>
      <c r="AO13" s="18" t="n">
        <v>44.21</v>
      </c>
      <c r="AP13" s="18" t="n">
        <v>23.05</v>
      </c>
      <c r="AQ13" s="18" t="n">
        <v>0.82</v>
      </c>
      <c r="AR13" s="18" t="n">
        <v>13.63</v>
      </c>
      <c r="AS13" s="18" t="n">
        <v>9.35</v>
      </c>
      <c r="AT13" s="18" t="n">
        <v>1.53</v>
      </c>
      <c r="AU13" s="18" t="n">
        <v>0.92</v>
      </c>
      <c r="AV13" s="18" t="n">
        <v>0.23</v>
      </c>
      <c r="AW13" s="18" t="n">
        <v>5.42</v>
      </c>
      <c r="AX13" s="18" t="n">
        <v>0.221</v>
      </c>
      <c r="AY13" s="18" t="inlineStr">
        <is>
          <t>-</t>
        </is>
      </c>
      <c r="AZ13" s="18" t="n">
        <v>0.443</v>
      </c>
      <c r="BA13" s="18" t="n">
        <v>98.78</v>
      </c>
      <c r="BB13" s="18" t="n">
        <v>96.75</v>
      </c>
      <c r="BC13" s="18" t="n">
        <v>86.59999999999999</v>
      </c>
      <c r="BD13" s="18" t="n">
        <v>24.7</v>
      </c>
      <c r="BE13" s="14" t="inlineStr">
        <is>
          <t>COA-DEMO-0012</t>
        </is>
      </c>
      <c r="BF13" s="19" t="n">
        <v>44088</v>
      </c>
      <c r="BG13" s="20" t="inlineStr">
        <is>
          <t>Jetty Eksisting</t>
        </is>
      </c>
    </row>
    <row r="14">
      <c r="A14" s="10">
        <f>EOMONTH(G14,-1)+1</f>
        <v/>
      </c>
      <c r="B14" s="11" t="n">
        <v>566</v>
      </c>
      <c r="C14" s="11" t="inlineStr">
        <is>
          <t>PT DEMO SUPPLIER 2</t>
        </is>
      </c>
      <c r="D14" s="11" t="inlineStr">
        <is>
          <t>CILIANDRA</t>
        </is>
      </c>
      <c r="E14" s="11" t="inlineStr">
        <is>
          <t>TANJUNG GEMILANG 250</t>
        </is>
      </c>
      <c r="F14" s="12" t="n">
        <v>44082.61458333334</v>
      </c>
      <c r="G14" s="12" t="n">
        <v>44083.64583333334</v>
      </c>
      <c r="H14" s="13" t="n">
        <v>5429.326</v>
      </c>
      <c r="I14" s="11" t="inlineStr">
        <is>
          <t>PT GEOSERVICES</t>
        </is>
      </c>
      <c r="J14" s="11" t="inlineStr">
        <is>
          <t>COA-DEMO-0013</t>
        </is>
      </c>
      <c r="K14" s="15" t="n">
        <v>44083</v>
      </c>
      <c r="L14" s="16" t="n">
        <v>3571</v>
      </c>
      <c r="M14" s="16" t="n"/>
      <c r="N14" s="16" t="n">
        <v>6253</v>
      </c>
      <c r="O14" s="16" t="n">
        <v>42.89</v>
      </c>
      <c r="P14" s="16" t="n">
        <v>16.83</v>
      </c>
      <c r="Q14" s="16" t="n">
        <v>4.7</v>
      </c>
      <c r="R14" s="16" t="n">
        <v>6.84</v>
      </c>
      <c r="S14" s="16" t="n">
        <v>8.220000000000001</v>
      </c>
      <c r="T14" s="16" t="n">
        <v>27.78</v>
      </c>
      <c r="U14" s="16" t="n">
        <v>40.46</v>
      </c>
      <c r="V14" s="16" t="n">
        <v>24.63</v>
      </c>
      <c r="W14" s="16" t="n">
        <v>35.87</v>
      </c>
      <c r="X14" s="16" t="n">
        <v>0.17</v>
      </c>
      <c r="Y14" s="16" t="n"/>
      <c r="Z14" s="16" t="n">
        <v>0.3</v>
      </c>
      <c r="AA14" s="16" t="n">
        <v>0.33</v>
      </c>
      <c r="AB14" s="16" t="n">
        <v>37.81</v>
      </c>
      <c r="AC14" s="16" t="n">
        <v>55.06</v>
      </c>
      <c r="AD14" s="16" t="n">
        <v>2.77</v>
      </c>
      <c r="AE14" s="16" t="n">
        <v>4.03</v>
      </c>
      <c r="AF14" s="16" t="n">
        <v>0.62</v>
      </c>
      <c r="AG14" s="16" t="n">
        <v>0.91</v>
      </c>
      <c r="AH14" s="16" t="n">
        <v>1.19</v>
      </c>
      <c r="AI14" s="16" t="n">
        <v>11.04</v>
      </c>
      <c r="AJ14" s="16" t="n">
        <v>16.08</v>
      </c>
      <c r="AK14" s="17" t="n">
        <v>55</v>
      </c>
      <c r="AL14" s="11" t="inlineStr">
        <is>
          <t>LOW</t>
        </is>
      </c>
      <c r="AM14" s="11" t="inlineStr">
        <is>
          <t>MEDIUM</t>
        </is>
      </c>
      <c r="AN14" s="11" t="n">
        <v>1230</v>
      </c>
      <c r="AO14" s="18" t="n">
        <v>33.98</v>
      </c>
      <c r="AP14" s="18" t="n">
        <v>22.13</v>
      </c>
      <c r="AQ14" s="18" t="n">
        <v>0.65</v>
      </c>
      <c r="AR14" s="18" t="n">
        <v>16.06</v>
      </c>
      <c r="AS14" s="18" t="n">
        <v>16.36</v>
      </c>
      <c r="AT14" s="18" t="n">
        <v>3.17</v>
      </c>
      <c r="AU14" s="18" t="n">
        <v>0.54</v>
      </c>
      <c r="AV14" s="18" t="n">
        <v>0.41</v>
      </c>
      <c r="AW14" s="18" t="n">
        <v>5.11</v>
      </c>
      <c r="AX14" s="18" t="n">
        <v>0.14</v>
      </c>
      <c r="AY14" s="18" t="inlineStr">
        <is>
          <t>-</t>
        </is>
      </c>
      <c r="AZ14" s="18" t="n">
        <v>0.93</v>
      </c>
      <c r="BA14" s="18" t="n">
        <v>100</v>
      </c>
      <c r="BB14" s="18" t="n">
        <v>98.75</v>
      </c>
      <c r="BC14" s="18" t="n">
        <v>91.67</v>
      </c>
      <c r="BD14" s="18" t="n">
        <v>34.85</v>
      </c>
      <c r="BE14" s="14" t="inlineStr">
        <is>
          <t>COA-DEMO-0013</t>
        </is>
      </c>
      <c r="BF14" s="19" t="n">
        <v>44089</v>
      </c>
      <c r="BG14" s="20" t="inlineStr">
        <is>
          <t>Jetty Eksisting</t>
        </is>
      </c>
    </row>
    <row r="15">
      <c r="A15" s="10">
        <f>EOMONTH(G15,-1)+1</f>
        <v/>
      </c>
      <c r="B15" s="11" t="n">
        <v>567</v>
      </c>
      <c r="C15" s="11" t="inlineStr">
        <is>
          <t>PT DEMO SUPPLIER 3</t>
        </is>
      </c>
      <c r="D15" s="11" t="inlineStr">
        <is>
          <t>BOJOMA 01</t>
        </is>
      </c>
      <c r="E15" s="11" t="inlineStr">
        <is>
          <t>FLY POWER 2705</t>
        </is>
      </c>
      <c r="F15" s="12" t="n">
        <v>44083.71875</v>
      </c>
      <c r="G15" s="12" t="n">
        <v>44084.90625</v>
      </c>
      <c r="H15" s="13" t="n">
        <v>5448.062</v>
      </c>
      <c r="I15" s="11" t="inlineStr">
        <is>
          <t>PT GEOSERVICES</t>
        </is>
      </c>
      <c r="J15" s="11" t="inlineStr">
        <is>
          <t>COA-DEMO-0014</t>
        </is>
      </c>
      <c r="K15" s="15" t="n">
        <v>44084</v>
      </c>
      <c r="L15" s="16" t="n">
        <v>3808</v>
      </c>
      <c r="M15" s="16" t="n"/>
      <c r="N15" s="16" t="n">
        <v>6479</v>
      </c>
      <c r="O15" s="16" t="n">
        <v>41.22</v>
      </c>
      <c r="P15" s="16" t="n">
        <v>16.9</v>
      </c>
      <c r="Q15" s="16" t="n">
        <v>3.18</v>
      </c>
      <c r="R15" s="16" t="n">
        <v>4.49</v>
      </c>
      <c r="S15" s="16" t="n">
        <v>5.4</v>
      </c>
      <c r="T15" s="16" t="n">
        <v>29.55</v>
      </c>
      <c r="U15" s="16" t="n">
        <v>41.78</v>
      </c>
      <c r="V15" s="16" t="n">
        <v>26.05</v>
      </c>
      <c r="W15" s="16" t="n">
        <v>36.83</v>
      </c>
      <c r="X15" s="16" t="n">
        <v>0.14</v>
      </c>
      <c r="Y15" s="16" t="n"/>
      <c r="Z15" s="16" t="n">
        <v>0.24</v>
      </c>
      <c r="AA15" s="16" t="n">
        <v>0.25</v>
      </c>
      <c r="AB15" s="16" t="n">
        <v>40.06</v>
      </c>
      <c r="AC15" s="16" t="n">
        <v>56.64</v>
      </c>
      <c r="AD15" s="16" t="n">
        <v>2.94</v>
      </c>
      <c r="AE15" s="16" t="n">
        <v>4.16</v>
      </c>
      <c r="AF15" s="16" t="n">
        <v>0.58</v>
      </c>
      <c r="AG15" s="16" t="n">
        <v>0.82</v>
      </c>
      <c r="AH15" s="16" t="n">
        <v>1.04</v>
      </c>
      <c r="AI15" s="16" t="n">
        <v>11.88</v>
      </c>
      <c r="AJ15" s="16" t="n">
        <v>16.79</v>
      </c>
      <c r="AK15" s="17" t="n">
        <v>56</v>
      </c>
      <c r="AL15" s="11" t="inlineStr">
        <is>
          <t>LOW</t>
        </is>
      </c>
      <c r="AM15" s="11" t="inlineStr">
        <is>
          <t>MEDIUM</t>
        </is>
      </c>
      <c r="AN15" s="11" t="n">
        <v>1160</v>
      </c>
      <c r="AO15" s="18" t="n">
        <v>33.91</v>
      </c>
      <c r="AP15" s="18" t="n">
        <v>15.12</v>
      </c>
      <c r="AQ15" s="18" t="n">
        <v>0.31</v>
      </c>
      <c r="AR15" s="18" t="n">
        <v>20.16</v>
      </c>
      <c r="AS15" s="18" t="n">
        <v>17.87</v>
      </c>
      <c r="AT15" s="18" t="n">
        <v>5.49</v>
      </c>
      <c r="AU15" s="18" t="n">
        <v>0.53</v>
      </c>
      <c r="AV15" s="18" t="n">
        <v>0.41</v>
      </c>
      <c r="AW15" s="18" t="n">
        <v>5.41</v>
      </c>
      <c r="AX15" s="18" t="n">
        <v>0.287</v>
      </c>
      <c r="AY15" s="18" t="inlineStr">
        <is>
          <t>-</t>
        </is>
      </c>
      <c r="AZ15" s="18" t="n">
        <v>0.431</v>
      </c>
      <c r="BA15" s="18" t="n">
        <v>99.12</v>
      </c>
      <c r="BB15" s="18" t="n">
        <v>94.78</v>
      </c>
      <c r="BC15" s="18" t="n">
        <v>84.14</v>
      </c>
      <c r="BD15" s="18" t="n">
        <v>23</v>
      </c>
      <c r="BE15" s="14" t="inlineStr">
        <is>
          <t>COA-DEMO-0014</t>
        </is>
      </c>
      <c r="BF15" s="19" t="n">
        <v>44091</v>
      </c>
      <c r="BG15" s="20" t="inlineStr">
        <is>
          <t>Jetty Eksisting</t>
        </is>
      </c>
    </row>
    <row r="16">
      <c r="A16" s="10">
        <f>EOMONTH(G16,-1)+1</f>
        <v/>
      </c>
      <c r="B16" s="11" t="n">
        <v>568</v>
      </c>
      <c r="C16" s="11" t="inlineStr">
        <is>
          <t>PT DEMO SUPPLIER 5</t>
        </is>
      </c>
      <c r="D16" s="11" t="inlineStr">
        <is>
          <t>SINAR SEJAHTERA 128</t>
        </is>
      </c>
      <c r="E16" s="11" t="inlineStr">
        <is>
          <t>CAPRICORN 41</t>
        </is>
      </c>
      <c r="F16" s="12" t="n">
        <v>44087.75347222222</v>
      </c>
      <c r="G16" s="12" t="n">
        <v>44088.91666666666</v>
      </c>
      <c r="H16" s="13" t="n">
        <v>5461.143</v>
      </c>
      <c r="I16" s="11" t="inlineStr">
        <is>
          <t>PT GEOSERVICES</t>
        </is>
      </c>
      <c r="J16" s="11" t="inlineStr">
        <is>
          <t>COA-DEMO-0015</t>
        </is>
      </c>
      <c r="K16" s="15" t="n">
        <v>44088</v>
      </c>
      <c r="L16" s="16" t="n">
        <v>4296</v>
      </c>
      <c r="M16" s="16" t="n"/>
      <c r="N16" s="16" t="n">
        <v>6608</v>
      </c>
      <c r="O16" s="16" t="n">
        <v>34.99</v>
      </c>
      <c r="P16" s="16" t="n">
        <v>12.85</v>
      </c>
      <c r="Q16" s="16" t="n">
        <v>5.8</v>
      </c>
      <c r="R16" s="16" t="n">
        <v>7.78</v>
      </c>
      <c r="S16" s="16" t="n">
        <v>8.93</v>
      </c>
      <c r="T16" s="16" t="n">
        <v>29.38</v>
      </c>
      <c r="U16" s="16" t="n">
        <v>39.38</v>
      </c>
      <c r="V16" s="16" t="n">
        <v>29.83</v>
      </c>
      <c r="W16" s="16" t="n">
        <v>39.99</v>
      </c>
      <c r="X16" s="16" t="n">
        <v>0.37</v>
      </c>
      <c r="Y16" s="16" t="n"/>
      <c r="Z16" s="16" t="n">
        <v>0.57</v>
      </c>
      <c r="AA16" s="16" t="n">
        <v>0.63</v>
      </c>
      <c r="AB16" s="16" t="n">
        <v>44.03</v>
      </c>
      <c r="AC16" s="16" t="n">
        <v>59.03</v>
      </c>
      <c r="AD16" s="16" t="n">
        <v>3.33</v>
      </c>
      <c r="AE16" s="16" t="n">
        <v>4.47</v>
      </c>
      <c r="AF16" s="16" t="n">
        <v>0.92</v>
      </c>
      <c r="AG16" s="16" t="n">
        <v>1.24</v>
      </c>
      <c r="AH16" s="16" t="n">
        <v>1.56</v>
      </c>
      <c r="AI16" s="16" t="n">
        <v>10.54</v>
      </c>
      <c r="AJ16" s="16" t="n">
        <v>14.13</v>
      </c>
      <c r="AK16" s="17" t="n">
        <v>50</v>
      </c>
      <c r="AL16" s="11" t="inlineStr">
        <is>
          <t>LOW</t>
        </is>
      </c>
      <c r="AM16" s="11" t="inlineStr">
        <is>
          <t>LOW</t>
        </is>
      </c>
      <c r="AN16" s="11" t="n">
        <v>1230</v>
      </c>
      <c r="AO16" s="18" t="n">
        <v>41.8</v>
      </c>
      <c r="AP16" s="18" t="n">
        <v>23.01</v>
      </c>
      <c r="AQ16" s="18" t="n">
        <v>1.03</v>
      </c>
      <c r="AR16" s="18" t="n">
        <v>14.12</v>
      </c>
      <c r="AS16" s="18" t="n">
        <v>5.07</v>
      </c>
      <c r="AT16" s="18" t="n">
        <v>1.11</v>
      </c>
      <c r="AU16" s="18" t="n">
        <v>1.12</v>
      </c>
      <c r="AV16" s="18" t="n">
        <v>0.24</v>
      </c>
      <c r="AW16" s="18" t="n">
        <v>10.9</v>
      </c>
      <c r="AX16" s="18" t="n">
        <v>0.49</v>
      </c>
      <c r="AY16" s="18" t="inlineStr">
        <is>
          <t>-</t>
        </is>
      </c>
      <c r="AZ16" s="18" t="n">
        <v>0.27</v>
      </c>
      <c r="BA16" s="18" t="n">
        <v>100</v>
      </c>
      <c r="BB16" s="18" t="n">
        <v>95.73</v>
      </c>
      <c r="BC16" s="18" t="n">
        <v>84.31999999999999</v>
      </c>
      <c r="BD16" s="18" t="n">
        <v>23.13</v>
      </c>
      <c r="BE16" s="14" t="inlineStr">
        <is>
          <t>COA-DEMO-0015</t>
        </is>
      </c>
      <c r="BF16" s="19" t="n">
        <v>44094</v>
      </c>
      <c r="BG16" s="20" t="inlineStr">
        <is>
          <t>Jetty Eksisting</t>
        </is>
      </c>
    </row>
    <row r="17">
      <c r="A17" s="10">
        <f>EOMONTH(G17,-1)+1</f>
        <v/>
      </c>
      <c r="B17" s="11" t="inlineStr">
        <is>
          <t>Lot 25</t>
        </is>
      </c>
      <c r="C17" s="11" t="inlineStr">
        <is>
          <t>PT DEMO SUPPLIER 4</t>
        </is>
      </c>
      <c r="D17" s="11" t="inlineStr">
        <is>
          <t>DUMP TRUCK</t>
        </is>
      </c>
      <c r="E17" s="11" t="inlineStr">
        <is>
          <t>DUMP TRUCK</t>
        </is>
      </c>
      <c r="F17" s="12" t="n">
        <v>44086.43680555555</v>
      </c>
      <c r="G17" s="12" t="n">
        <v>44090.59583333333</v>
      </c>
      <c r="H17" s="13" t="n">
        <v>5299.48</v>
      </c>
      <c r="I17" s="11" t="inlineStr">
        <is>
          <t>PT GEOSERVICES</t>
        </is>
      </c>
      <c r="J17" s="14" t="inlineStr">
        <is>
          <t>COA-DEMO-0016</t>
        </is>
      </c>
      <c r="K17" s="15" t="n">
        <v>44098</v>
      </c>
      <c r="L17" s="16" t="n">
        <v>4207</v>
      </c>
      <c r="M17" s="16" t="n"/>
      <c r="N17" s="16" t="n">
        <v>6796</v>
      </c>
      <c r="O17" s="16" t="n">
        <v>38.09</v>
      </c>
      <c r="P17" s="16" t="n">
        <v>12.34</v>
      </c>
      <c r="Q17" s="16" t="n">
        <v>5.18</v>
      </c>
      <c r="R17" s="16" t="n">
        <v>7.33</v>
      </c>
      <c r="S17" s="16" t="n">
        <v>8.359999999999999</v>
      </c>
      <c r="T17" s="16" t="n">
        <v>27.32</v>
      </c>
      <c r="U17" s="16" t="n">
        <v>38.68</v>
      </c>
      <c r="V17" s="16" t="n">
        <v>29.42</v>
      </c>
      <c r="W17" s="16" t="n">
        <v>41.65</v>
      </c>
      <c r="X17" s="16" t="n">
        <v>0.33</v>
      </c>
      <c r="Y17" s="16" t="n"/>
      <c r="Z17" s="16" t="n">
        <v>0.54</v>
      </c>
      <c r="AA17" s="16" t="n">
        <v>0.59</v>
      </c>
      <c r="AB17" s="16" t="n">
        <v>43.02</v>
      </c>
      <c r="AC17" s="16" t="n">
        <v>60.91</v>
      </c>
      <c r="AD17" s="16" t="n">
        <v>3.15</v>
      </c>
      <c r="AE17" s="16" t="n">
        <v>4.46</v>
      </c>
      <c r="AF17" s="16" t="n">
        <v>0.95</v>
      </c>
      <c r="AG17" s="16" t="n">
        <v>1.35</v>
      </c>
      <c r="AH17" s="16" t="n">
        <v>1.68</v>
      </c>
      <c r="AI17" s="16" t="n">
        <v>9.279999999999999</v>
      </c>
      <c r="AJ17" s="16" t="n">
        <v>13.14</v>
      </c>
      <c r="AK17" s="17" t="n">
        <v>49</v>
      </c>
      <c r="AL17" s="11" t="inlineStr">
        <is>
          <t>LOW</t>
        </is>
      </c>
      <c r="AM17" s="11" t="inlineStr">
        <is>
          <t>LOW</t>
        </is>
      </c>
      <c r="AN17" s="11" t="n">
        <v>1230</v>
      </c>
      <c r="AO17" s="18" t="n">
        <v>41.09</v>
      </c>
      <c r="AP17" s="18" t="n">
        <v>22.91</v>
      </c>
      <c r="AQ17" s="18" t="n">
        <v>0.97</v>
      </c>
      <c r="AR17" s="18" t="n">
        <v>13.98</v>
      </c>
      <c r="AS17" s="18" t="n">
        <v>5.85</v>
      </c>
      <c r="AT17" s="18" t="n">
        <v>1.11</v>
      </c>
      <c r="AU17" s="18" t="n">
        <v>1.11</v>
      </c>
      <c r="AV17" s="18" t="n">
        <v>0.36</v>
      </c>
      <c r="AW17" s="18" t="n">
        <v>11.24</v>
      </c>
      <c r="AX17" s="18" t="n">
        <v>0.55</v>
      </c>
      <c r="AY17" s="18" t="inlineStr">
        <is>
          <t>-</t>
        </is>
      </c>
      <c r="AZ17" s="18" t="n">
        <v>0.28</v>
      </c>
      <c r="BA17" s="18" t="n">
        <v>99.29000000000001</v>
      </c>
      <c r="BB17" s="18" t="n">
        <v>91.79000000000001</v>
      </c>
      <c r="BC17" s="18" t="n">
        <v>73.75</v>
      </c>
      <c r="BD17" s="18" t="n">
        <v>21.34</v>
      </c>
      <c r="BE17" s="14" t="inlineStr">
        <is>
          <t>COA-DEMO-0016</t>
        </is>
      </c>
      <c r="BF17" s="19" t="n">
        <v>44098</v>
      </c>
      <c r="BG17" s="20" t="inlineStr">
        <is>
          <t>Moda Trucking</t>
        </is>
      </c>
    </row>
    <row r="18">
      <c r="A18" s="10">
        <f>EOMONTH(G18,-1)+1</f>
        <v/>
      </c>
      <c r="B18" s="11" t="n">
        <v>569</v>
      </c>
      <c r="C18" s="11" t="inlineStr">
        <is>
          <t>PT DEMO SUPPLIER 3</t>
        </is>
      </c>
      <c r="D18" s="11" t="inlineStr">
        <is>
          <t>TANJUNG BAHARI 19</t>
        </is>
      </c>
      <c r="E18" s="11" t="inlineStr">
        <is>
          <t>BAHARI 2711</t>
        </is>
      </c>
      <c r="F18" s="12" t="n">
        <v>44091.98263888889</v>
      </c>
      <c r="G18" s="12" t="n">
        <v>44093.33333333334</v>
      </c>
      <c r="H18" s="13" t="n">
        <v>5831.185</v>
      </c>
      <c r="I18" s="11" t="inlineStr">
        <is>
          <t>PT GEOSERVICES</t>
        </is>
      </c>
      <c r="J18" s="14" t="inlineStr">
        <is>
          <t>COA-DEMO-0017</t>
        </is>
      </c>
      <c r="K18" s="15" t="n">
        <v>44093</v>
      </c>
      <c r="L18" s="16" t="n">
        <v>3814</v>
      </c>
      <c r="M18" s="16" t="n"/>
      <c r="N18" s="16" t="n">
        <v>6531</v>
      </c>
      <c r="O18" s="16" t="n">
        <v>41.6</v>
      </c>
      <c r="P18" s="16" t="n">
        <v>16.74</v>
      </c>
      <c r="Q18" s="16" t="n">
        <v>3.75</v>
      </c>
      <c r="R18" s="16" t="n">
        <v>5.35</v>
      </c>
      <c r="S18" s="16" t="n">
        <v>6.43</v>
      </c>
      <c r="T18" s="16" t="n">
        <v>29.01</v>
      </c>
      <c r="U18" s="16" t="n">
        <v>41.36</v>
      </c>
      <c r="V18" s="16" t="n">
        <v>25.64</v>
      </c>
      <c r="W18" s="16" t="n">
        <v>36.55</v>
      </c>
      <c r="X18" s="16" t="n">
        <v>0.13</v>
      </c>
      <c r="Y18" s="16" t="n"/>
      <c r="Z18" s="16" t="n">
        <v>0.22</v>
      </c>
      <c r="AA18" s="16" t="n">
        <v>0.23</v>
      </c>
      <c r="AB18" s="16" t="n">
        <v>39.87</v>
      </c>
      <c r="AC18" s="16" t="n">
        <v>56.84</v>
      </c>
      <c r="AD18" s="16" t="n">
        <v>2.87</v>
      </c>
      <c r="AE18" s="16" t="n">
        <v>4.09</v>
      </c>
      <c r="AF18" s="16" t="n">
        <v>0.6</v>
      </c>
      <c r="AG18" s="16" t="n">
        <v>0.86</v>
      </c>
      <c r="AH18" s="16" t="n">
        <v>1.1</v>
      </c>
      <c r="AI18" s="16" t="n">
        <v>11.18</v>
      </c>
      <c r="AJ18" s="16" t="n">
        <v>15.94</v>
      </c>
      <c r="AK18" s="17" t="n">
        <v>58</v>
      </c>
      <c r="AL18" s="11" t="inlineStr">
        <is>
          <t>LOW</t>
        </is>
      </c>
      <c r="AM18" s="11" t="inlineStr">
        <is>
          <t>MEDIUM</t>
        </is>
      </c>
      <c r="AN18" s="11" t="n">
        <v>1230</v>
      </c>
      <c r="AO18" s="18" t="n">
        <v>34.68</v>
      </c>
      <c r="AP18" s="18" t="n">
        <v>21.94</v>
      </c>
      <c r="AQ18" s="18" t="n">
        <v>0.66</v>
      </c>
      <c r="AR18" s="18" t="n">
        <v>15.68</v>
      </c>
      <c r="AS18" s="18" t="n">
        <v>16.42</v>
      </c>
      <c r="AT18" s="18" t="n">
        <v>3.15</v>
      </c>
      <c r="AU18" s="18" t="n">
        <v>0.55</v>
      </c>
      <c r="AV18" s="18" t="n">
        <v>0.73</v>
      </c>
      <c r="AW18" s="18" t="n">
        <v>4.98</v>
      </c>
      <c r="AX18" s="18" t="n">
        <v>0.14</v>
      </c>
      <c r="AY18" s="18" t="inlineStr">
        <is>
          <t>-</t>
        </is>
      </c>
      <c r="AZ18" s="18" t="n">
        <v>0.954</v>
      </c>
      <c r="BA18" s="18" t="n">
        <v>94.2</v>
      </c>
      <c r="BB18" s="18" t="n">
        <v>84.87</v>
      </c>
      <c r="BC18" s="18" t="n">
        <v>75.8</v>
      </c>
      <c r="BD18" s="18" t="n">
        <v>19.1</v>
      </c>
      <c r="BE18" s="14" t="inlineStr">
        <is>
          <t>COA-DEMO-0017</t>
        </is>
      </c>
      <c r="BF18" s="19" t="n">
        <v>44100</v>
      </c>
      <c r="BG18" s="20" t="inlineStr">
        <is>
          <t>Jetty Eksisting</t>
        </is>
      </c>
    </row>
    <row r="19">
      <c r="A19" s="10">
        <f>EOMONTH(G19,-1)+1</f>
        <v/>
      </c>
      <c r="B19" s="11" t="n">
        <v>570</v>
      </c>
      <c r="C19" s="11" t="inlineStr">
        <is>
          <t>PT DEMO SUPPLIER 5</t>
        </is>
      </c>
      <c r="D19" s="11" t="inlineStr">
        <is>
          <t>CAPRICORN 42</t>
        </is>
      </c>
      <c r="E19" s="11" t="inlineStr">
        <is>
          <t>CAPRICORN 43</t>
        </is>
      </c>
      <c r="F19" s="12" t="n">
        <v>44093.45138888889</v>
      </c>
      <c r="G19" s="12" t="n">
        <v>44094.44791666666</v>
      </c>
      <c r="H19" s="13" t="n">
        <v>5327.375</v>
      </c>
      <c r="I19" s="11" t="inlineStr">
        <is>
          <t>PT GEOSERVICES</t>
        </is>
      </c>
      <c r="J19" s="11" t="inlineStr">
        <is>
          <t>COA-DEMO-0018</t>
        </is>
      </c>
      <c r="K19" s="15" t="n">
        <v>44094</v>
      </c>
      <c r="L19" s="16" t="n">
        <v>4288</v>
      </c>
      <c r="M19" s="16" t="n"/>
      <c r="N19" s="16" t="n">
        <v>6447</v>
      </c>
      <c r="O19" s="16" t="n">
        <v>33.48</v>
      </c>
      <c r="P19" s="16" t="n">
        <v>12.5</v>
      </c>
      <c r="Q19" s="16" t="n">
        <v>8.039999999999999</v>
      </c>
      <c r="R19" s="16" t="n">
        <v>10.57</v>
      </c>
      <c r="S19" s="16" t="n">
        <v>12.08</v>
      </c>
      <c r="T19" s="16" t="n">
        <v>29.06</v>
      </c>
      <c r="U19" s="16" t="n">
        <v>38.22</v>
      </c>
      <c r="V19" s="16" t="n">
        <v>29.43</v>
      </c>
      <c r="W19" s="16" t="n">
        <v>38.71</v>
      </c>
      <c r="X19" s="16" t="n">
        <v>0.37</v>
      </c>
      <c r="Y19" s="16" t="n"/>
      <c r="Z19" s="16" t="n">
        <v>0.5600000000000001</v>
      </c>
      <c r="AA19" s="16" t="n">
        <v>0.64</v>
      </c>
      <c r="AB19" s="16" t="n">
        <v>44.13</v>
      </c>
      <c r="AC19" s="16" t="n">
        <v>58.05</v>
      </c>
      <c r="AD19" s="16" t="n">
        <v>3.24</v>
      </c>
      <c r="AE19" s="16" t="n">
        <v>4.26</v>
      </c>
      <c r="AF19" s="16" t="n">
        <v>0.9399999999999999</v>
      </c>
      <c r="AG19" s="16" t="n">
        <v>1.23</v>
      </c>
      <c r="AH19" s="16" t="n">
        <v>1.6</v>
      </c>
      <c r="AI19" s="16" t="n">
        <v>9.81</v>
      </c>
      <c r="AJ19" s="16" t="n">
        <v>12.9</v>
      </c>
      <c r="AK19" s="17" t="n">
        <v>46</v>
      </c>
      <c r="AL19" s="11" t="inlineStr">
        <is>
          <t>LOW</t>
        </is>
      </c>
      <c r="AM19" s="11" t="inlineStr">
        <is>
          <t>LOW</t>
        </is>
      </c>
      <c r="AN19" s="11" t="n">
        <v>1240</v>
      </c>
      <c r="AO19" s="18" t="n">
        <v>43.15</v>
      </c>
      <c r="AP19" s="18" t="n">
        <v>21.98</v>
      </c>
      <c r="AQ19" s="18" t="n">
        <v>0.8</v>
      </c>
      <c r="AR19" s="18" t="n">
        <v>14.68</v>
      </c>
      <c r="AS19" s="18" t="n">
        <v>10.77</v>
      </c>
      <c r="AT19" s="18" t="n">
        <v>1.51</v>
      </c>
      <c r="AU19" s="18" t="n">
        <v>0.93</v>
      </c>
      <c r="AV19" s="18" t="n">
        <v>0.25</v>
      </c>
      <c r="AW19" s="18" t="n">
        <v>5.11</v>
      </c>
      <c r="AX19" s="18" t="n">
        <v>0.209</v>
      </c>
      <c r="AY19" s="18" t="inlineStr">
        <is>
          <t>-</t>
        </is>
      </c>
      <c r="AZ19" s="18" t="n">
        <v>0.45</v>
      </c>
      <c r="BA19" s="18" t="n">
        <v>99.45999999999999</v>
      </c>
      <c r="BB19" s="18" t="n">
        <v>94.33</v>
      </c>
      <c r="BC19" s="18" t="n">
        <v>86.2</v>
      </c>
      <c r="BD19" s="18" t="n">
        <v>26.5</v>
      </c>
      <c r="BE19" s="11" t="inlineStr">
        <is>
          <t>COA-DEMO-0018</t>
        </is>
      </c>
      <c r="BF19" s="19" t="n">
        <v>44102</v>
      </c>
      <c r="BG19" s="20" t="inlineStr">
        <is>
          <t>Jetty Eksisting</t>
        </is>
      </c>
    </row>
    <row r="20">
      <c r="A20" s="10">
        <f>EOMONTH(G20,-1)+1</f>
        <v/>
      </c>
      <c r="B20" s="11" t="n">
        <v>571</v>
      </c>
      <c r="C20" s="11" t="inlineStr">
        <is>
          <t>PT DEMO SUPPLIER 5</t>
        </is>
      </c>
      <c r="D20" s="11" t="inlineStr">
        <is>
          <t>LL LOTTUS</t>
        </is>
      </c>
      <c r="E20" s="11" t="inlineStr">
        <is>
          <t>LL 2518</t>
        </is>
      </c>
      <c r="F20" s="12" t="n">
        <v>44094.98263888889</v>
      </c>
      <c r="G20" s="12" t="n">
        <v>44095.77430555555</v>
      </c>
      <c r="H20" s="13" t="n">
        <v>4079.918</v>
      </c>
      <c r="I20" s="11" t="inlineStr">
        <is>
          <t>PT GEOSERVICES</t>
        </is>
      </c>
      <c r="J20" s="11" t="inlineStr">
        <is>
          <t>COA-DEMO-0019</t>
        </is>
      </c>
      <c r="K20" s="15" t="n">
        <v>44095</v>
      </c>
      <c r="L20" s="16" t="n">
        <v>4347</v>
      </c>
      <c r="M20" s="16" t="n"/>
      <c r="N20" s="16" t="n">
        <v>6646</v>
      </c>
      <c r="O20" s="16" t="n">
        <v>34.59</v>
      </c>
      <c r="P20" s="16" t="n">
        <v>11.61</v>
      </c>
      <c r="Q20" s="16" t="n">
        <v>5.96</v>
      </c>
      <c r="R20" s="16" t="n">
        <v>8.06</v>
      </c>
      <c r="S20" s="16" t="n">
        <v>9.119999999999999</v>
      </c>
      <c r="T20" s="16" t="n">
        <v>28.79</v>
      </c>
      <c r="U20" s="16" t="n">
        <v>38.91</v>
      </c>
      <c r="V20" s="16" t="n">
        <v>30.65</v>
      </c>
      <c r="W20" s="16" t="n">
        <v>41.42</v>
      </c>
      <c r="X20" s="16" t="n">
        <v>0.54</v>
      </c>
      <c r="Y20" s="16" t="n"/>
      <c r="Z20" s="16" t="n">
        <v>0.83</v>
      </c>
      <c r="AA20" s="16" t="n">
        <v>0.91</v>
      </c>
      <c r="AB20" s="16" t="n">
        <v>44.83</v>
      </c>
      <c r="AC20" s="16" t="n">
        <v>60.58</v>
      </c>
      <c r="AD20" s="16" t="n">
        <v>3.22</v>
      </c>
      <c r="AE20" s="16" t="n">
        <v>4.35</v>
      </c>
      <c r="AF20" s="16" t="n">
        <v>1.01</v>
      </c>
      <c r="AG20" s="16" t="n">
        <v>1.37</v>
      </c>
      <c r="AH20" s="16" t="n">
        <v>1.71</v>
      </c>
      <c r="AI20" s="16" t="n">
        <v>9.84</v>
      </c>
      <c r="AJ20" s="16" t="n">
        <v>13.3</v>
      </c>
      <c r="AK20" s="17" t="n">
        <v>45</v>
      </c>
      <c r="AL20" s="11" t="inlineStr">
        <is>
          <t>LOW</t>
        </is>
      </c>
      <c r="AM20" s="11" t="inlineStr">
        <is>
          <t>LOW</t>
        </is>
      </c>
      <c r="AN20" s="11" t="n">
        <v>1190</v>
      </c>
      <c r="AO20" s="18" t="n">
        <v>42.93</v>
      </c>
      <c r="AP20" s="18" t="n">
        <v>22.07</v>
      </c>
      <c r="AQ20" s="18" t="n">
        <v>0.83</v>
      </c>
      <c r="AR20" s="18" t="n">
        <v>14.59</v>
      </c>
      <c r="AS20" s="18" t="n">
        <v>11.14</v>
      </c>
      <c r="AT20" s="18" t="n">
        <v>1.56</v>
      </c>
      <c r="AU20" s="18" t="n">
        <v>0.91</v>
      </c>
      <c r="AV20" s="18" t="n">
        <v>0.28</v>
      </c>
      <c r="AW20" s="18" t="n">
        <v>5.24</v>
      </c>
      <c r="AX20" s="18" t="n">
        <v>0.217</v>
      </c>
      <c r="AY20" s="18" t="inlineStr">
        <is>
          <t>-</t>
        </is>
      </c>
      <c r="AZ20" s="18" t="n">
        <v>0.46</v>
      </c>
      <c r="BA20" s="18" t="n">
        <v>99.5</v>
      </c>
      <c r="BB20" s="18" t="n">
        <v>92.36</v>
      </c>
      <c r="BC20" s="18" t="n">
        <v>79.09999999999999</v>
      </c>
      <c r="BD20" s="18" t="n">
        <v>18.3</v>
      </c>
      <c r="BE20" s="11" t="inlineStr">
        <is>
          <t>COA-DEMO-0019</t>
        </is>
      </c>
      <c r="BF20" s="19" t="n">
        <v>44102</v>
      </c>
      <c r="BG20" s="20" t="inlineStr">
        <is>
          <t>Jetty Eksisting</t>
        </is>
      </c>
    </row>
    <row r="21">
      <c r="A21" s="10">
        <f>EOMONTH(G21,-1)+1</f>
        <v/>
      </c>
      <c r="B21" s="11" t="n">
        <v>572</v>
      </c>
      <c r="C21" s="11" t="inlineStr">
        <is>
          <t>PT DEMO SUPPLIER 5</t>
        </is>
      </c>
      <c r="D21" s="11" t="inlineStr">
        <is>
          <t>LL LEXXUS 03</t>
        </is>
      </c>
      <c r="E21" s="11" t="inlineStr">
        <is>
          <t>SARAH 01</t>
        </is>
      </c>
      <c r="F21" s="12" t="n">
        <v>44097.64930555555</v>
      </c>
      <c r="G21" s="12" t="n">
        <v>44098.74305555555</v>
      </c>
      <c r="H21" s="13" t="n">
        <v>5462.792</v>
      </c>
      <c r="I21" s="11" t="inlineStr">
        <is>
          <t>PT GEOSERVICES</t>
        </is>
      </c>
      <c r="J21" s="11" t="inlineStr">
        <is>
          <t>COA-DEMO-0020</t>
        </is>
      </c>
      <c r="K21" s="15" t="n">
        <v>44098</v>
      </c>
      <c r="L21" s="16" t="n">
        <v>3820</v>
      </c>
      <c r="M21" s="16" t="n"/>
      <c r="N21" s="16" t="n">
        <v>6490</v>
      </c>
      <c r="O21" s="16" t="n">
        <v>41.14</v>
      </c>
      <c r="P21" s="16" t="n">
        <v>18.49</v>
      </c>
      <c r="Q21" s="16" t="n">
        <v>4.32</v>
      </c>
      <c r="R21" s="16" t="n">
        <v>5.98</v>
      </c>
      <c r="S21" s="16" t="n">
        <v>7.34</v>
      </c>
      <c r="T21" s="16" t="n">
        <v>29.2</v>
      </c>
      <c r="U21" s="16" t="n">
        <v>40.43</v>
      </c>
      <c r="V21" s="16" t="n">
        <v>25.35</v>
      </c>
      <c r="W21" s="16" t="n">
        <v>35.1</v>
      </c>
      <c r="X21" s="16" t="n">
        <v>0.26</v>
      </c>
      <c r="Y21" s="16" t="n"/>
      <c r="Z21" s="16" t="n">
        <v>0.44</v>
      </c>
      <c r="AA21" s="16" t="n">
        <v>0.48</v>
      </c>
      <c r="AB21" s="16" t="n">
        <v>40.45</v>
      </c>
      <c r="AC21" s="16" t="n">
        <v>56.01</v>
      </c>
      <c r="AD21" s="16" t="n">
        <v>2.99</v>
      </c>
      <c r="AE21" s="16" t="n">
        <v>4.14</v>
      </c>
      <c r="AF21" s="16" t="n">
        <v>0.6899999999999999</v>
      </c>
      <c r="AG21" s="16" t="n">
        <v>0.95</v>
      </c>
      <c r="AH21" s="16" t="n">
        <v>1.26</v>
      </c>
      <c r="AI21" s="16" t="n">
        <v>10.16</v>
      </c>
      <c r="AJ21" s="16" t="n">
        <v>14.07</v>
      </c>
      <c r="AK21" s="17" t="n">
        <v>54</v>
      </c>
      <c r="AL21" s="11" t="inlineStr">
        <is>
          <t>LOW</t>
        </is>
      </c>
      <c r="AM21" s="11" t="inlineStr">
        <is>
          <t>MEDIUM</t>
        </is>
      </c>
      <c r="AN21" s="11" t="n">
        <v>1160</v>
      </c>
      <c r="AO21" s="18" t="n">
        <v>34.21</v>
      </c>
      <c r="AP21" s="18" t="n">
        <v>22.12</v>
      </c>
      <c r="AQ21" s="18" t="n">
        <v>0.68</v>
      </c>
      <c r="AR21" s="18" t="n">
        <v>15.49</v>
      </c>
      <c r="AS21" s="18" t="n">
        <v>16.53</v>
      </c>
      <c r="AT21" s="18" t="n">
        <v>3.22</v>
      </c>
      <c r="AU21" s="18" t="n">
        <v>0.57</v>
      </c>
      <c r="AV21" s="18" t="n">
        <v>0.74</v>
      </c>
      <c r="AW21" s="18" t="n">
        <v>5.22</v>
      </c>
      <c r="AX21" s="18" t="n">
        <v>0.142</v>
      </c>
      <c r="AY21" s="18" t="inlineStr">
        <is>
          <t>-</t>
        </is>
      </c>
      <c r="AZ21" s="18" t="n">
        <v>0.947</v>
      </c>
      <c r="BA21" s="18" t="n">
        <v>97.52</v>
      </c>
      <c r="BB21" s="18" t="n">
        <v>85.95</v>
      </c>
      <c r="BC21" s="18" t="n">
        <v>73.26000000000001</v>
      </c>
      <c r="BD21" s="18" t="n">
        <v>27.2</v>
      </c>
      <c r="BE21" s="11" t="inlineStr">
        <is>
          <t>COA-DEMO-0020</t>
        </is>
      </c>
      <c r="BF21" s="19" t="n">
        <v>44103</v>
      </c>
      <c r="BG21" s="20" t="inlineStr">
        <is>
          <t>Jetty Eksisting</t>
        </is>
      </c>
    </row>
    <row r="22">
      <c r="A22" s="10">
        <f>EOMONTH(G22,-1)+1</f>
        <v/>
      </c>
      <c r="B22" s="11" t="n">
        <v>573</v>
      </c>
      <c r="C22" s="11" t="inlineStr">
        <is>
          <t>PT DEMO SUPPLIER 6</t>
        </is>
      </c>
      <c r="D22" s="11" t="inlineStr">
        <is>
          <t>MAJU DAYA 71</t>
        </is>
      </c>
      <c r="E22" s="11" t="inlineStr">
        <is>
          <t>MARCOPOLO 278</t>
        </is>
      </c>
      <c r="F22" s="12" t="n">
        <v>44098.88888888889</v>
      </c>
      <c r="G22" s="12" t="n">
        <v>44100.35416666666</v>
      </c>
      <c r="H22" s="13" t="n">
        <v>5601.292</v>
      </c>
      <c r="I22" s="11" t="inlineStr">
        <is>
          <t>PT GEOSERVICES</t>
        </is>
      </c>
      <c r="J22" s="11" t="inlineStr">
        <is>
          <t>COA-DEMO-0021</t>
        </is>
      </c>
      <c r="K22" s="15" t="n">
        <v>44100</v>
      </c>
      <c r="L22" s="16" t="n">
        <v>4219</v>
      </c>
      <c r="M22" s="16" t="n"/>
      <c r="N22" s="16" t="n">
        <v>6528</v>
      </c>
      <c r="O22" s="16" t="n">
        <v>35.37</v>
      </c>
      <c r="P22" s="16" t="n">
        <v>15.43</v>
      </c>
      <c r="Q22" s="16" t="n">
        <v>3.9</v>
      </c>
      <c r="R22" s="16" t="n">
        <v>5.1</v>
      </c>
      <c r="S22" s="16" t="n">
        <v>6.03</v>
      </c>
      <c r="T22" s="16" t="n">
        <v>31.29</v>
      </c>
      <c r="U22" s="16" t="n">
        <v>40.95</v>
      </c>
      <c r="V22" s="16" t="n">
        <v>29.44</v>
      </c>
      <c r="W22" s="16" t="n">
        <v>38.52</v>
      </c>
      <c r="X22" s="16" t="n">
        <v>0.41</v>
      </c>
      <c r="Y22" s="16" t="n"/>
      <c r="Z22" s="16" t="n">
        <v>0.63</v>
      </c>
      <c r="AA22" s="16" t="n">
        <v>0.67</v>
      </c>
      <c r="AB22" s="16" t="n">
        <v>44.45</v>
      </c>
      <c r="AC22" s="16" t="n">
        <v>58.16</v>
      </c>
      <c r="AD22" s="16" t="n">
        <v>3.21</v>
      </c>
      <c r="AE22" s="16" t="n">
        <v>4.2</v>
      </c>
      <c r="AF22" s="16" t="n">
        <v>0.78</v>
      </c>
      <c r="AG22" s="16" t="n">
        <v>1.02</v>
      </c>
      <c r="AH22" s="16" t="n">
        <v>1.28</v>
      </c>
      <c r="AI22" s="16" t="n">
        <v>11.89</v>
      </c>
      <c r="AJ22" s="16" t="n">
        <v>15.56</v>
      </c>
      <c r="AK22" s="17" t="n">
        <v>59</v>
      </c>
      <c r="AL22" s="11" t="inlineStr">
        <is>
          <t>LOW</t>
        </is>
      </c>
      <c r="AM22" s="11" t="inlineStr">
        <is>
          <t>LOW</t>
        </is>
      </c>
      <c r="AN22" s="11" t="n">
        <v>1190</v>
      </c>
      <c r="AO22" s="18" t="n">
        <v>52.31</v>
      </c>
      <c r="AP22" s="18" t="n">
        <v>18.24</v>
      </c>
      <c r="AQ22" s="18" t="n">
        <v>0.72</v>
      </c>
      <c r="AR22" s="18" t="n">
        <v>12.54</v>
      </c>
      <c r="AS22" s="18" t="n">
        <v>7.61</v>
      </c>
      <c r="AT22" s="18" t="n">
        <v>3.31</v>
      </c>
      <c r="AU22" s="18" t="n">
        <v>0.76</v>
      </c>
      <c r="AV22" s="18" t="n">
        <v>0.21</v>
      </c>
      <c r="AW22" s="18" t="n">
        <v>3.87</v>
      </c>
      <c r="AX22" s="18" t="n">
        <v>0.093</v>
      </c>
      <c r="AY22" s="18" t="inlineStr">
        <is>
          <t>-</t>
        </is>
      </c>
      <c r="AZ22" s="18" t="n">
        <v>0.293</v>
      </c>
      <c r="BA22" s="18" t="n">
        <v>95.23</v>
      </c>
      <c r="BB22" s="18" t="n">
        <v>83.05</v>
      </c>
      <c r="BC22" s="18" t="n">
        <v>69.25</v>
      </c>
      <c r="BD22" s="18" t="n">
        <v>22.85</v>
      </c>
      <c r="BE22" s="11" t="inlineStr">
        <is>
          <t>COA-DEMO-0021</t>
        </is>
      </c>
      <c r="BF22" s="19" t="n">
        <v>44107</v>
      </c>
      <c r="BG22" s="20" t="inlineStr">
        <is>
          <t>Jetty Eksisting</t>
        </is>
      </c>
    </row>
    <row r="23">
      <c r="A23" s="10">
        <f>EOMONTH(G23,-1)+1</f>
        <v/>
      </c>
      <c r="B23" s="11" t="n">
        <v>574</v>
      </c>
      <c r="C23" s="11" t="inlineStr">
        <is>
          <t>PT DEMO SUPPLIER 5</t>
        </is>
      </c>
      <c r="D23" s="11" t="inlineStr">
        <is>
          <t>LL EAGLE 02</t>
        </is>
      </c>
      <c r="E23" s="11" t="inlineStr">
        <is>
          <t>LL 2717</t>
        </is>
      </c>
      <c r="F23" s="12" t="n">
        <v>44100.44097222222</v>
      </c>
      <c r="G23" s="12" t="n">
        <v>44101.79861111111</v>
      </c>
      <c r="H23" s="13" t="n">
        <v>5454.166</v>
      </c>
      <c r="I23" s="11" t="inlineStr">
        <is>
          <t>PT GEOSERVICES</t>
        </is>
      </c>
      <c r="J23" s="11" t="inlineStr">
        <is>
          <t>COA-DEMO-0022</t>
        </is>
      </c>
      <c r="K23" s="15" t="n">
        <v>44101</v>
      </c>
      <c r="L23" s="16" t="n">
        <v>3658</v>
      </c>
      <c r="M23" s="16" t="n"/>
      <c r="N23" s="16" t="n">
        <v>6181</v>
      </c>
      <c r="O23" s="16" t="n">
        <v>40.81</v>
      </c>
      <c r="P23" s="16" t="n">
        <v>13.81</v>
      </c>
      <c r="Q23" s="16" t="n">
        <v>6.39</v>
      </c>
      <c r="R23" s="16" t="n">
        <v>9.31</v>
      </c>
      <c r="S23" s="16" t="n">
        <v>10.8</v>
      </c>
      <c r="T23" s="16" t="n">
        <v>27.83</v>
      </c>
      <c r="U23" s="16" t="n">
        <v>40.53</v>
      </c>
      <c r="V23" s="16" t="n">
        <v>24.96</v>
      </c>
      <c r="W23" s="16" t="n">
        <v>36.35</v>
      </c>
      <c r="X23" s="16" t="n">
        <v>0.22</v>
      </c>
      <c r="Y23" s="16" t="n"/>
      <c r="Z23" s="16" t="n">
        <v>0.37</v>
      </c>
      <c r="AA23" s="16" t="n">
        <v>0.42</v>
      </c>
      <c r="AB23" s="16" t="n">
        <v>38.65</v>
      </c>
      <c r="AC23" s="16" t="n">
        <v>56.28</v>
      </c>
      <c r="AD23" s="16" t="n">
        <v>2.9</v>
      </c>
      <c r="AE23" s="16" t="n">
        <v>4.22</v>
      </c>
      <c r="AF23" s="16" t="n">
        <v>0.64</v>
      </c>
      <c r="AG23" s="16" t="n">
        <v>0.93</v>
      </c>
      <c r="AH23" s="16" t="n">
        <v>1.21</v>
      </c>
      <c r="AI23" s="16" t="n">
        <v>10.39</v>
      </c>
      <c r="AJ23" s="16" t="n">
        <v>15.13</v>
      </c>
      <c r="AK23" s="17" t="n">
        <v>51</v>
      </c>
      <c r="AL23" s="11" t="inlineStr">
        <is>
          <t>LOW</t>
        </is>
      </c>
      <c r="AM23" s="11" t="inlineStr">
        <is>
          <t>LOW</t>
        </is>
      </c>
      <c r="AN23" s="11" t="n">
        <v>1230</v>
      </c>
      <c r="AO23" s="18" t="n">
        <v>39.15</v>
      </c>
      <c r="AP23" s="18" t="n">
        <v>21.68</v>
      </c>
      <c r="AQ23" s="18" t="n">
        <v>1.07</v>
      </c>
      <c r="AR23" s="18" t="n">
        <v>14.74</v>
      </c>
      <c r="AS23" s="18" t="n">
        <v>13.71</v>
      </c>
      <c r="AT23" s="18" t="n">
        <v>2.22</v>
      </c>
      <c r="AU23" s="18" t="n">
        <v>0.5600000000000001</v>
      </c>
      <c r="AV23" s="18" t="n">
        <v>0.15</v>
      </c>
      <c r="AW23" s="18" t="n">
        <v>5.96</v>
      </c>
      <c r="AX23" s="18" t="n">
        <v>0.22</v>
      </c>
      <c r="AY23" s="18" t="inlineStr">
        <is>
          <t>-</t>
        </is>
      </c>
      <c r="AZ23" s="18" t="n">
        <v>0.37</v>
      </c>
      <c r="BA23" s="18" t="n">
        <v>94.97</v>
      </c>
      <c r="BB23" s="18" t="n">
        <v>89.42</v>
      </c>
      <c r="BC23" s="18" t="n">
        <v>79.23</v>
      </c>
      <c r="BD23" s="18" t="n">
        <v>25.34</v>
      </c>
      <c r="BE23" s="11" t="inlineStr">
        <is>
          <t>COA-DEMO-0022</t>
        </is>
      </c>
      <c r="BF23" s="19" t="n">
        <v>44109</v>
      </c>
      <c r="BG23" s="20" t="inlineStr">
        <is>
          <t>Jetty Eksisting</t>
        </is>
      </c>
    </row>
    <row r="24">
      <c r="A24" s="10">
        <f>EOMONTH(G24,-1)+1</f>
        <v/>
      </c>
      <c r="B24" s="11" t="n">
        <v>575</v>
      </c>
      <c r="C24" s="11" t="inlineStr">
        <is>
          <t>PT DEMO SUPPLIER 7</t>
        </is>
      </c>
      <c r="D24" s="11" t="inlineStr">
        <is>
          <t>CILIANDRA</t>
        </is>
      </c>
      <c r="E24" s="11" t="inlineStr">
        <is>
          <t>TANJUNG GEMILANG 250</t>
        </is>
      </c>
      <c r="F24" s="12" t="n">
        <v>44099.38888888889</v>
      </c>
      <c r="G24" s="12" t="n">
        <v>44102.08333333334</v>
      </c>
      <c r="H24" s="13" t="n">
        <v>5649.804</v>
      </c>
      <c r="I24" s="11" t="inlineStr">
        <is>
          <t>PT GEOSERVICES</t>
        </is>
      </c>
      <c r="J24" s="11" t="inlineStr">
        <is>
          <t>COA-DEMO-0023</t>
        </is>
      </c>
      <c r="K24" s="15" t="n">
        <v>44102</v>
      </c>
      <c r="L24" s="16" t="n">
        <v>4016</v>
      </c>
      <c r="M24" s="16" t="n"/>
      <c r="N24" s="16" t="n">
        <v>6254</v>
      </c>
      <c r="O24" s="16" t="n">
        <v>35.79</v>
      </c>
      <c r="P24" s="16" t="n">
        <v>16.44</v>
      </c>
      <c r="Q24" s="16" t="n">
        <v>7.73</v>
      </c>
      <c r="R24" s="16" t="n">
        <v>10.06</v>
      </c>
      <c r="S24" s="16" t="n">
        <v>12.04</v>
      </c>
      <c r="T24" s="16" t="n">
        <v>28.09</v>
      </c>
      <c r="U24" s="16" t="n">
        <v>36.55</v>
      </c>
      <c r="V24" s="16" t="n">
        <v>28.39</v>
      </c>
      <c r="W24" s="16" t="n">
        <v>36.95</v>
      </c>
      <c r="X24" s="16" t="n">
        <v>0.33</v>
      </c>
      <c r="Y24" s="16" t="n"/>
      <c r="Z24" s="16" t="n">
        <v>0.51</v>
      </c>
      <c r="AA24" s="16" t="n">
        <v>0.59</v>
      </c>
      <c r="AB24" s="16" t="n">
        <v>42.43</v>
      </c>
      <c r="AC24" s="16" t="n">
        <v>55.21</v>
      </c>
      <c r="AD24" s="16" t="n">
        <v>3.14</v>
      </c>
      <c r="AE24" s="16" t="n">
        <v>4.08</v>
      </c>
      <c r="AF24" s="16" t="n">
        <v>0.91</v>
      </c>
      <c r="AG24" s="16" t="n">
        <v>1.18</v>
      </c>
      <c r="AH24" s="16" t="n">
        <v>1.61</v>
      </c>
      <c r="AI24" s="16" t="n">
        <v>9.68</v>
      </c>
      <c r="AJ24" s="16" t="n">
        <v>12.6</v>
      </c>
      <c r="AK24" s="17" t="n">
        <v>55</v>
      </c>
      <c r="AL24" s="11" t="inlineStr">
        <is>
          <t>LOW</t>
        </is>
      </c>
      <c r="AM24" s="11" t="inlineStr">
        <is>
          <t>MEDIUM</t>
        </is>
      </c>
      <c r="AN24" s="11" t="n">
        <v>1250</v>
      </c>
      <c r="AO24" s="18" t="n">
        <v>42.97</v>
      </c>
      <c r="AP24" s="18" t="n">
        <v>23.06</v>
      </c>
      <c r="AQ24" s="18" t="n">
        <v>0.97</v>
      </c>
      <c r="AR24" s="18" t="n">
        <v>13.34</v>
      </c>
      <c r="AS24" s="18" t="n">
        <v>7.62</v>
      </c>
      <c r="AT24" s="18" t="n">
        <v>1.68</v>
      </c>
      <c r="AU24" s="18" t="n">
        <v>0.68</v>
      </c>
      <c r="AV24" s="18" t="n">
        <v>0.15</v>
      </c>
      <c r="AW24" s="18" t="n">
        <v>9.23</v>
      </c>
      <c r="AX24" s="18" t="n">
        <v>0.28</v>
      </c>
      <c r="AY24" s="18" t="inlineStr">
        <is>
          <t>-</t>
        </is>
      </c>
      <c r="AZ24" s="18" t="n">
        <v>0.35</v>
      </c>
      <c r="BA24" s="18" t="n">
        <v>95.98</v>
      </c>
      <c r="BB24" s="18" t="n">
        <v>83.92</v>
      </c>
      <c r="BC24" s="18" t="n">
        <v>69.66</v>
      </c>
      <c r="BD24" s="18" t="n">
        <v>20.95</v>
      </c>
      <c r="BE24" s="11" t="inlineStr">
        <is>
          <t>COA-DEMO-0023</t>
        </is>
      </c>
      <c r="BF24" s="19" t="n">
        <v>44110</v>
      </c>
      <c r="BG24" s="20" t="inlineStr">
        <is>
          <t>Jetty Temporary</t>
        </is>
      </c>
    </row>
    <row r="25">
      <c r="A25" s="10">
        <f>EOMONTH(G25,-1)+1</f>
        <v/>
      </c>
      <c r="B25" s="11" t="n">
        <v>576</v>
      </c>
      <c r="C25" s="11" t="inlineStr">
        <is>
          <t>PT DEMO SUPPLIER 8</t>
        </is>
      </c>
      <c r="D25" s="11" t="inlineStr">
        <is>
          <t>MEGA DAYA 21</t>
        </is>
      </c>
      <c r="E25" s="11" t="inlineStr">
        <is>
          <t>MARCOPOLO 2528</t>
        </is>
      </c>
      <c r="F25" s="12" t="n">
        <v>44101.90625</v>
      </c>
      <c r="G25" s="12" t="n">
        <v>44103.22569444445</v>
      </c>
      <c r="H25" s="13" t="n">
        <v>5304.078</v>
      </c>
      <c r="I25" s="11" t="inlineStr">
        <is>
          <t>PT GEOSERVICES</t>
        </is>
      </c>
      <c r="J25" s="11" t="inlineStr">
        <is>
          <t>COA-DEMO-0024</t>
        </is>
      </c>
      <c r="K25" s="15" t="n">
        <v>44103</v>
      </c>
      <c r="L25" s="16" t="n">
        <v>3455</v>
      </c>
      <c r="M25" s="16" t="n"/>
      <c r="N25" s="16" t="n">
        <v>6045</v>
      </c>
      <c r="O25" s="16" t="n">
        <v>42.85</v>
      </c>
      <c r="P25" s="16" t="n">
        <v>16.87</v>
      </c>
      <c r="Q25" s="16" t="n">
        <v>7.09</v>
      </c>
      <c r="R25" s="16" t="n">
        <v>10.32</v>
      </c>
      <c r="S25" s="16" t="n">
        <v>12.41</v>
      </c>
      <c r="T25" s="16" t="n">
        <v>25.86</v>
      </c>
      <c r="U25" s="16" t="n">
        <v>37.61</v>
      </c>
      <c r="V25" s="16" t="n">
        <v>24.2</v>
      </c>
      <c r="W25" s="16" t="n">
        <v>35.2</v>
      </c>
      <c r="X25" s="16" t="n">
        <v>0.25</v>
      </c>
      <c r="Y25" s="16" t="n"/>
      <c r="Z25" s="16" t="n">
        <v>0.43</v>
      </c>
      <c r="AA25" s="16" t="n">
        <v>0.49</v>
      </c>
      <c r="AB25" s="16" t="n">
        <v>37.2</v>
      </c>
      <c r="AC25" s="16" t="n">
        <v>54.11</v>
      </c>
      <c r="AD25" s="16" t="n">
        <v>2.74</v>
      </c>
      <c r="AE25" s="16" t="n">
        <v>3.99</v>
      </c>
      <c r="AF25" s="16" t="n">
        <v>0.67</v>
      </c>
      <c r="AG25" s="16" t="n">
        <v>0.97</v>
      </c>
      <c r="AH25" s="16" t="n">
        <v>1.33</v>
      </c>
      <c r="AI25" s="16" t="n">
        <v>9.199999999999999</v>
      </c>
      <c r="AJ25" s="16" t="n">
        <v>13.38</v>
      </c>
      <c r="AK25" s="17" t="n">
        <v>49</v>
      </c>
      <c r="AL25" s="11" t="inlineStr">
        <is>
          <t>LOW</t>
        </is>
      </c>
      <c r="AM25" s="11" t="inlineStr">
        <is>
          <t>LOW</t>
        </is>
      </c>
      <c r="AN25" s="11" t="n">
        <v>1250</v>
      </c>
      <c r="AO25" s="18" t="n">
        <v>43.99</v>
      </c>
      <c r="AP25" s="18" t="n">
        <v>23.56</v>
      </c>
      <c r="AQ25" s="18" t="n">
        <v>0.73</v>
      </c>
      <c r="AR25" s="18" t="n">
        <v>15.03</v>
      </c>
      <c r="AS25" s="18" t="n">
        <v>7.84</v>
      </c>
      <c r="AT25" s="18" t="n">
        <v>1.62</v>
      </c>
      <c r="AU25" s="18" t="n">
        <v>0.91</v>
      </c>
      <c r="AV25" s="18" t="n">
        <v>0.22</v>
      </c>
      <c r="AW25" s="18" t="n">
        <v>5.95</v>
      </c>
      <c r="AX25" s="18" t="n">
        <v>0.23</v>
      </c>
      <c r="AY25" s="18" t="inlineStr">
        <is>
          <t>-</t>
        </is>
      </c>
      <c r="AZ25" s="18" t="n">
        <v>0.441</v>
      </c>
      <c r="BA25" s="18" t="n">
        <v>98.51000000000001</v>
      </c>
      <c r="BB25" s="18" t="n">
        <v>91.64</v>
      </c>
      <c r="BC25" s="18" t="n">
        <v>81.06</v>
      </c>
      <c r="BD25" s="18" t="n">
        <v>22.38</v>
      </c>
      <c r="BE25" s="11" t="inlineStr">
        <is>
          <t>COA-DEMO-0024</t>
        </is>
      </c>
      <c r="BF25" s="19" t="n">
        <v>44111</v>
      </c>
      <c r="BG25" s="20" t="inlineStr">
        <is>
          <t>Jetty Eksisting</t>
        </is>
      </c>
    </row>
    <row r="26">
      <c r="A26" s="10">
        <f>EOMONTH(G26,-1)+1</f>
        <v/>
      </c>
      <c r="B26" s="11" t="n">
        <v>577</v>
      </c>
      <c r="C26" s="11" t="inlineStr">
        <is>
          <t>PT DEMO SUPPLIER 3</t>
        </is>
      </c>
      <c r="D26" s="11" t="inlineStr">
        <is>
          <t>TANJUNG BAHARI 17</t>
        </is>
      </c>
      <c r="E26" s="11" t="inlineStr">
        <is>
          <t>BAHARI 2589</t>
        </is>
      </c>
      <c r="F26" s="12" t="n">
        <v>44102.40625</v>
      </c>
      <c r="G26" s="12" t="n">
        <v>44104.17361111111</v>
      </c>
      <c r="H26" s="13" t="n">
        <v>5092.094</v>
      </c>
      <c r="I26" s="11" t="inlineStr">
        <is>
          <t>PT GEOSERVICES</t>
        </is>
      </c>
      <c r="J26" s="11" t="inlineStr">
        <is>
          <t>COA-DEMO-0025</t>
        </is>
      </c>
      <c r="K26" s="15" t="n">
        <v>44104</v>
      </c>
      <c r="L26" s="16" t="n">
        <v>3961</v>
      </c>
      <c r="M26" s="16" t="n"/>
      <c r="N26" s="16" t="n">
        <v>6421</v>
      </c>
      <c r="O26" s="16" t="n">
        <v>38.31</v>
      </c>
      <c r="P26" s="16" t="n">
        <v>14</v>
      </c>
      <c r="Q26" s="16" t="n">
        <v>4.93</v>
      </c>
      <c r="R26" s="16" t="n">
        <v>6.87</v>
      </c>
      <c r="S26" s="16" t="n">
        <v>7.99</v>
      </c>
      <c r="T26" s="16" t="n">
        <v>26.38</v>
      </c>
      <c r="U26" s="16" t="n">
        <v>36.78</v>
      </c>
      <c r="V26" s="16" t="n">
        <v>30.38</v>
      </c>
      <c r="W26" s="16" t="n">
        <v>42.35</v>
      </c>
      <c r="X26" s="16" t="n">
        <v>0.27</v>
      </c>
      <c r="Y26" s="16" t="n"/>
      <c r="Z26" s="16" t="n">
        <v>0.44</v>
      </c>
      <c r="AA26" s="16" t="n">
        <v>0.48</v>
      </c>
      <c r="AB26" s="16" t="n">
        <v>40.94</v>
      </c>
      <c r="AC26" s="16" t="n">
        <v>57.08</v>
      </c>
      <c r="AD26" s="16" t="n">
        <v>2.96</v>
      </c>
      <c r="AE26" s="16" t="n">
        <v>4.12</v>
      </c>
      <c r="AF26" s="16" t="n">
        <v>0.88</v>
      </c>
      <c r="AG26" s="16" t="n">
        <v>1.23</v>
      </c>
      <c r="AH26" s="16" t="n">
        <v>1.55</v>
      </c>
      <c r="AI26" s="16" t="n">
        <v>11.71</v>
      </c>
      <c r="AJ26" s="16" t="n">
        <v>16.32</v>
      </c>
      <c r="AK26" s="17" t="n">
        <v>50</v>
      </c>
      <c r="AL26" s="11" t="inlineStr">
        <is>
          <t>LOW</t>
        </is>
      </c>
      <c r="AM26" s="11" t="inlineStr">
        <is>
          <t>MEDIUM</t>
        </is>
      </c>
      <c r="AN26" s="11" t="n">
        <v>1240</v>
      </c>
      <c r="AO26" s="18" t="n">
        <v>34.21</v>
      </c>
      <c r="AP26" s="18" t="n">
        <v>15.82</v>
      </c>
      <c r="AQ26" s="18" t="n">
        <v>0.37</v>
      </c>
      <c r="AR26" s="18" t="n">
        <v>19.36</v>
      </c>
      <c r="AS26" s="18" t="n">
        <v>18.35</v>
      </c>
      <c r="AT26" s="18" t="n">
        <v>5.21</v>
      </c>
      <c r="AU26" s="18" t="n">
        <v>0.54</v>
      </c>
      <c r="AV26" s="18" t="n">
        <v>0.45</v>
      </c>
      <c r="AW26" s="18" t="n">
        <v>5.58</v>
      </c>
      <c r="AX26" s="18" t="n">
        <v>0.288</v>
      </c>
      <c r="AY26" s="18" t="inlineStr">
        <is>
          <t>-</t>
        </is>
      </c>
      <c r="AZ26" s="18" t="n">
        <v>0.421</v>
      </c>
      <c r="BA26" s="18" t="n">
        <v>95.52</v>
      </c>
      <c r="BB26" s="18" t="n">
        <v>84.02</v>
      </c>
      <c r="BC26" s="18" t="n">
        <v>69.88</v>
      </c>
      <c r="BD26" s="18" t="n">
        <v>20.66</v>
      </c>
      <c r="BE26" s="11" t="inlineStr">
        <is>
          <t>COA-DEMO-0025</t>
        </is>
      </c>
      <c r="BF26" s="19" t="n">
        <v>44111</v>
      </c>
      <c r="BG26" s="20" t="inlineStr">
        <is>
          <t>Jetty Temporary</t>
        </is>
      </c>
    </row>
    <row r="27">
      <c r="A27" s="10">
        <f>EOMONTH(G27,-1)+1</f>
        <v/>
      </c>
      <c r="B27" s="11" t="inlineStr">
        <is>
          <t>Lot 26</t>
        </is>
      </c>
      <c r="C27" s="11" t="inlineStr">
        <is>
          <t>PT DEMO SUPPLIER 4</t>
        </is>
      </c>
      <c r="D27" s="11" t="inlineStr">
        <is>
          <t>DUMP TRUCK</t>
        </is>
      </c>
      <c r="E27" s="11" t="inlineStr">
        <is>
          <t>DUMP TRUCK</t>
        </is>
      </c>
      <c r="F27" s="12" t="n">
        <v>44092.45138888889</v>
      </c>
      <c r="G27" s="12" t="n">
        <v>44103.71597222222</v>
      </c>
      <c r="H27" s="13" t="n">
        <v>5093.33</v>
      </c>
      <c r="I27" s="11" t="inlineStr">
        <is>
          <t>PT GEOSERVICES</t>
        </is>
      </c>
      <c r="J27" s="14" t="inlineStr">
        <is>
          <t>COA-DEMO-0026</t>
        </is>
      </c>
      <c r="K27" s="15" t="n">
        <v>44111</v>
      </c>
      <c r="L27" s="16" t="n">
        <v>4105</v>
      </c>
      <c r="M27" s="16" t="n"/>
      <c r="N27" s="16" t="n">
        <v>6606</v>
      </c>
      <c r="O27" s="16" t="n">
        <v>37.86</v>
      </c>
      <c r="P27" s="16" t="n">
        <v>18.08</v>
      </c>
      <c r="Q27" s="16" t="n">
        <v>4.99</v>
      </c>
      <c r="R27" s="16" t="n">
        <v>6.58</v>
      </c>
      <c r="S27" s="16" t="n">
        <v>8.029999999999999</v>
      </c>
      <c r="T27" s="16" t="n">
        <v>27.95</v>
      </c>
      <c r="U27" s="16" t="n">
        <v>36.85</v>
      </c>
      <c r="V27" s="16" t="n">
        <v>29.2</v>
      </c>
      <c r="W27" s="16" t="n">
        <v>38.49</v>
      </c>
      <c r="X27" s="16" t="n">
        <v>0.29</v>
      </c>
      <c r="Y27" s="16" t="n"/>
      <c r="Z27" s="16" t="n">
        <v>0.46</v>
      </c>
      <c r="AA27" s="16" t="n">
        <v>0.5</v>
      </c>
      <c r="AB27" s="16" t="n">
        <v>43.02</v>
      </c>
      <c r="AC27" s="16" t="n">
        <v>56.71</v>
      </c>
      <c r="AD27" s="16" t="n">
        <v>3.05</v>
      </c>
      <c r="AE27" s="16" t="n">
        <v>4.02</v>
      </c>
      <c r="AF27" s="16" t="n">
        <v>0.93</v>
      </c>
      <c r="AG27" s="16" t="n">
        <v>1.22</v>
      </c>
      <c r="AH27" s="16" t="n">
        <v>1.62</v>
      </c>
      <c r="AI27" s="16" t="n">
        <v>9.869999999999999</v>
      </c>
      <c r="AJ27" s="16" t="n">
        <v>13.01</v>
      </c>
      <c r="AK27" s="17" t="n">
        <v>53</v>
      </c>
      <c r="AL27" s="11" t="inlineStr">
        <is>
          <t>LOW</t>
        </is>
      </c>
      <c r="AM27" s="11" t="inlineStr">
        <is>
          <t>LOW</t>
        </is>
      </c>
      <c r="AN27" s="11" t="n">
        <v>1230</v>
      </c>
      <c r="AO27" s="18" t="n">
        <v>44.07</v>
      </c>
      <c r="AP27" s="18" t="n">
        <v>21.14</v>
      </c>
      <c r="AQ27" s="18" t="n">
        <v>0.74</v>
      </c>
      <c r="AR27" s="18" t="n">
        <v>14.89</v>
      </c>
      <c r="AS27" s="18" t="n">
        <v>10.68</v>
      </c>
      <c r="AT27" s="18" t="n">
        <v>1.52</v>
      </c>
      <c r="AU27" s="18" t="n">
        <v>0.97</v>
      </c>
      <c r="AV27" s="18" t="n">
        <v>0.26</v>
      </c>
      <c r="AW27" s="18" t="n">
        <v>5.39</v>
      </c>
      <c r="AX27" s="18" t="n">
        <v>0.217</v>
      </c>
      <c r="AY27" s="18" t="inlineStr">
        <is>
          <t>-</t>
        </is>
      </c>
      <c r="AZ27" s="18" t="n">
        <v>0.426</v>
      </c>
      <c r="BA27" s="18" t="n">
        <v>96.16</v>
      </c>
      <c r="BB27" s="18" t="n">
        <v>85.76000000000001</v>
      </c>
      <c r="BC27" s="18" t="n">
        <v>69.44</v>
      </c>
      <c r="BD27" s="18" t="n">
        <v>12.85</v>
      </c>
      <c r="BE27" s="14" t="inlineStr">
        <is>
          <t>COA-DEMO-0026</t>
        </is>
      </c>
      <c r="BF27" s="19" t="n">
        <v>44111</v>
      </c>
      <c r="BG27" s="20" t="inlineStr">
        <is>
          <t>Moda Trucking</t>
        </is>
      </c>
    </row>
    <row r="28">
      <c r="A28" s="10">
        <f>EOMONTH(G28,-1)+1</f>
        <v/>
      </c>
      <c r="B28" s="11" t="n">
        <v>578</v>
      </c>
      <c r="C28" s="11" t="inlineStr">
        <is>
          <t>PT DEMO SUPPLIER 5</t>
        </is>
      </c>
      <c r="D28" s="11" t="inlineStr">
        <is>
          <t>SINAR SEJAHTERA 128</t>
        </is>
      </c>
      <c r="E28" s="11" t="inlineStr">
        <is>
          <t>CAPRICORN 41</t>
        </is>
      </c>
      <c r="F28" s="12" t="n">
        <v>44103.30902777778</v>
      </c>
      <c r="G28" s="12" t="n">
        <v>44104.82638888889</v>
      </c>
      <c r="H28" s="13" t="n">
        <v>5414.803</v>
      </c>
      <c r="I28" s="11" t="inlineStr">
        <is>
          <t>PT GEOSERVICES</t>
        </is>
      </c>
      <c r="J28" s="14" t="inlineStr">
        <is>
          <t>COA-DEMO-0027</t>
        </is>
      </c>
      <c r="K28" s="15" t="n">
        <v>44104</v>
      </c>
      <c r="L28" s="16" t="n">
        <v>3934</v>
      </c>
      <c r="M28" s="16" t="n"/>
      <c r="N28" s="16" t="n">
        <v>6232</v>
      </c>
      <c r="O28" s="16" t="n">
        <v>36.87</v>
      </c>
      <c r="P28" s="16" t="n">
        <v>13</v>
      </c>
      <c r="Q28" s="16" t="n">
        <v>7.04</v>
      </c>
      <c r="R28" s="16" t="n">
        <v>9.699999999999999</v>
      </c>
      <c r="S28" s="16" t="n">
        <v>11.15</v>
      </c>
      <c r="T28" s="16" t="n">
        <v>29.08</v>
      </c>
      <c r="U28" s="16" t="n">
        <v>40.07</v>
      </c>
      <c r="V28" s="16" t="n">
        <v>27.02</v>
      </c>
      <c r="W28" s="16" t="n">
        <v>37.23</v>
      </c>
      <c r="X28" s="16" t="n">
        <v>0.27</v>
      </c>
      <c r="Y28" s="16" t="n"/>
      <c r="Z28" s="16" t="n">
        <v>0.43</v>
      </c>
      <c r="AA28" s="16" t="n">
        <v>0.48</v>
      </c>
      <c r="AB28" s="16" t="n">
        <v>41.43</v>
      </c>
      <c r="AC28" s="16" t="n">
        <v>57.09</v>
      </c>
      <c r="AD28" s="16" t="n">
        <v>3.1</v>
      </c>
      <c r="AE28" s="16" t="n">
        <v>4.27</v>
      </c>
      <c r="AF28" s="16" t="n">
        <v>0.77</v>
      </c>
      <c r="AG28" s="16" t="n">
        <v>1.06</v>
      </c>
      <c r="AH28" s="16" t="n">
        <v>1.37</v>
      </c>
      <c r="AI28" s="16" t="n">
        <v>10.53</v>
      </c>
      <c r="AJ28" s="16" t="n">
        <v>14.51</v>
      </c>
      <c r="AK28" s="17" t="n">
        <v>51</v>
      </c>
      <c r="AL28" s="11" t="inlineStr">
        <is>
          <t>LOW</t>
        </is>
      </c>
      <c r="AM28" s="11" t="inlineStr">
        <is>
          <t>LOW</t>
        </is>
      </c>
      <c r="AN28" s="11" t="n">
        <v>1230</v>
      </c>
      <c r="AO28" s="18" t="n">
        <v>40.89</v>
      </c>
      <c r="AP28" s="18" t="n">
        <v>21.67</v>
      </c>
      <c r="AQ28" s="18" t="n">
        <v>0.7</v>
      </c>
      <c r="AR28" s="18" t="n">
        <v>14.82</v>
      </c>
      <c r="AS28" s="18" t="n">
        <v>8.960000000000001</v>
      </c>
      <c r="AT28" s="18" t="n">
        <v>1.91</v>
      </c>
      <c r="AU28" s="18" t="n">
        <v>0.8100000000000001</v>
      </c>
      <c r="AV28" s="18" t="n">
        <v>0.23</v>
      </c>
      <c r="AW28" s="18" t="n">
        <v>8.93</v>
      </c>
      <c r="AX28" s="18" t="n">
        <v>0.26</v>
      </c>
      <c r="AY28" s="18" t="inlineStr">
        <is>
          <t>-</t>
        </is>
      </c>
      <c r="AZ28" s="18" t="n">
        <v>0.57</v>
      </c>
      <c r="BA28" s="18" t="n">
        <v>99.43000000000001</v>
      </c>
      <c r="BB28" s="18" t="n">
        <v>93.01000000000001</v>
      </c>
      <c r="BC28" s="18" t="n">
        <v>80.62</v>
      </c>
      <c r="BD28" s="18" t="n">
        <v>30.87</v>
      </c>
      <c r="BE28" s="14" t="inlineStr">
        <is>
          <t>COA-DEMO-0027</t>
        </is>
      </c>
      <c r="BF28" s="19" t="n">
        <v>44112</v>
      </c>
      <c r="BG28" s="20" t="inlineStr">
        <is>
          <t>Jetty Eksisting</t>
        </is>
      </c>
    </row>
    <row r="29">
      <c r="A29" s="10">
        <f>EOMONTH(G29,-1)+1</f>
        <v/>
      </c>
      <c r="B29" s="11" t="n">
        <v>579</v>
      </c>
      <c r="C29" s="11" t="inlineStr">
        <is>
          <t>PT DEMO SUPPLIER 5</t>
        </is>
      </c>
      <c r="D29" s="11" t="inlineStr">
        <is>
          <t>LL MASERATII 03</t>
        </is>
      </c>
      <c r="E29" s="11" t="inlineStr">
        <is>
          <t>LL 2712</t>
        </is>
      </c>
      <c r="F29" s="12" t="n">
        <v>44104.70833333334</v>
      </c>
      <c r="G29" s="12" t="n">
        <v>44107.47222222222</v>
      </c>
      <c r="H29" s="13" t="n">
        <v>5400.779</v>
      </c>
      <c r="I29" s="11" t="inlineStr">
        <is>
          <t>PT GEOSERVICES</t>
        </is>
      </c>
      <c r="J29" s="14" t="inlineStr">
        <is>
          <t>COA-DEMO-0028</t>
        </is>
      </c>
      <c r="K29" s="15" t="n">
        <v>44107</v>
      </c>
      <c r="L29" s="16" t="n">
        <v>3855</v>
      </c>
      <c r="M29" s="16" t="n"/>
      <c r="N29" s="16" t="n">
        <v>6228</v>
      </c>
      <c r="O29" s="16" t="n">
        <v>38.11</v>
      </c>
      <c r="P29" s="16" t="n">
        <v>13.07</v>
      </c>
      <c r="Q29" s="16" t="n">
        <v>7.02</v>
      </c>
      <c r="R29" s="16" t="n">
        <v>9.859999999999999</v>
      </c>
      <c r="S29" s="16" t="n">
        <v>11.34</v>
      </c>
      <c r="T29" s="16" t="n">
        <v>28.32</v>
      </c>
      <c r="U29" s="16" t="n">
        <v>39.78</v>
      </c>
      <c r="V29" s="16" t="n">
        <v>26.55</v>
      </c>
      <c r="W29" s="16" t="n">
        <v>37.29</v>
      </c>
      <c r="X29" s="16" t="n">
        <v>0.26</v>
      </c>
      <c r="Y29" s="16" t="n"/>
      <c r="Z29" s="16" t="n">
        <v>0.43</v>
      </c>
      <c r="AA29" s="16" t="n">
        <v>0.48</v>
      </c>
      <c r="AB29" s="16" t="n">
        <v>40.69</v>
      </c>
      <c r="AC29" s="16" t="n">
        <v>57.15</v>
      </c>
      <c r="AD29" s="16" t="n">
        <v>3.06</v>
      </c>
      <c r="AE29" s="16" t="n">
        <v>4.3</v>
      </c>
      <c r="AF29" s="16" t="n">
        <v>0.78</v>
      </c>
      <c r="AG29" s="16" t="n">
        <v>1.1</v>
      </c>
      <c r="AH29" s="16" t="n">
        <v>1.43</v>
      </c>
      <c r="AI29" s="16" t="n">
        <v>10.07</v>
      </c>
      <c r="AJ29" s="16" t="n">
        <v>14.15</v>
      </c>
      <c r="AK29" s="17" t="n">
        <v>50</v>
      </c>
      <c r="AL29" s="11" t="inlineStr">
        <is>
          <t>LOW</t>
        </is>
      </c>
      <c r="AM29" s="11" t="inlineStr">
        <is>
          <t>LOW</t>
        </is>
      </c>
      <c r="AN29" s="11" t="n">
        <v>1210</v>
      </c>
      <c r="AO29" s="18" t="n">
        <v>40.57</v>
      </c>
      <c r="AP29" s="18" t="n">
        <v>24.12</v>
      </c>
      <c r="AQ29" s="18" t="n">
        <v>0.67</v>
      </c>
      <c r="AR29" s="18" t="n">
        <v>17.62</v>
      </c>
      <c r="AS29" s="18" t="n">
        <v>7.53</v>
      </c>
      <c r="AT29" s="18" t="n">
        <v>1.56</v>
      </c>
      <c r="AU29" s="18" t="n">
        <v>1.34</v>
      </c>
      <c r="AV29" s="18" t="n">
        <v>0.27</v>
      </c>
      <c r="AW29" s="18" t="n">
        <v>5.59</v>
      </c>
      <c r="AX29" s="18" t="n">
        <v>0.46</v>
      </c>
      <c r="AY29" s="18" t="inlineStr">
        <is>
          <t>-</t>
        </is>
      </c>
      <c r="AZ29" s="18" t="n">
        <v>0.42</v>
      </c>
      <c r="BA29" s="18" t="n">
        <v>98.78</v>
      </c>
      <c r="BB29" s="18" t="n">
        <v>91.54000000000001</v>
      </c>
      <c r="BC29" s="18" t="n">
        <v>80.38</v>
      </c>
      <c r="BD29" s="18" t="n">
        <v>24.62</v>
      </c>
      <c r="BE29" s="14" t="inlineStr">
        <is>
          <t>COA-DEMO-0028</t>
        </is>
      </c>
      <c r="BF29" s="19" t="n">
        <v>44114</v>
      </c>
      <c r="BG29" s="20" t="inlineStr">
        <is>
          <t>Jetty Temporary</t>
        </is>
      </c>
    </row>
    <row r="30">
      <c r="A30" s="10">
        <f>EOMONTH(G30,-1)+1</f>
        <v/>
      </c>
      <c r="B30" s="11" t="n">
        <v>580</v>
      </c>
      <c r="C30" s="11" t="inlineStr">
        <is>
          <t>PT DEMO SUPPLIER 5</t>
        </is>
      </c>
      <c r="D30" s="11" t="inlineStr">
        <is>
          <t>SOL 1008</t>
        </is>
      </c>
      <c r="E30" s="11" t="inlineStr">
        <is>
          <t>CAPRICORN 39</t>
        </is>
      </c>
      <c r="F30" s="12" t="n">
        <v>44104.89930555555</v>
      </c>
      <c r="G30" s="12" t="n">
        <v>44106.09375</v>
      </c>
      <c r="H30" s="13" t="n">
        <v>5421.937</v>
      </c>
      <c r="I30" s="11" t="inlineStr">
        <is>
          <t>PT GEOSERVICES</t>
        </is>
      </c>
      <c r="J30" s="11" t="inlineStr">
        <is>
          <t>COA-DEMO-0029</t>
        </is>
      </c>
      <c r="K30" s="15" t="n">
        <v>44106</v>
      </c>
      <c r="L30" s="16" t="n">
        <v>4246</v>
      </c>
      <c r="M30" s="16" t="n"/>
      <c r="N30" s="16" t="n">
        <v>6501</v>
      </c>
      <c r="O30" s="16" t="n">
        <v>34.68</v>
      </c>
      <c r="P30" s="16" t="n">
        <v>12.66</v>
      </c>
      <c r="Q30" s="16" t="n">
        <v>6.16</v>
      </c>
      <c r="R30" s="16" t="n">
        <v>8.24</v>
      </c>
      <c r="S30" s="16" t="n">
        <v>9.43</v>
      </c>
      <c r="T30" s="16" t="n">
        <v>29.38</v>
      </c>
      <c r="U30" s="16" t="n">
        <v>39.28</v>
      </c>
      <c r="V30" s="16" t="n">
        <v>29.78</v>
      </c>
      <c r="W30" s="16" t="n">
        <v>39.82</v>
      </c>
      <c r="X30" s="16" t="n">
        <v>0.42</v>
      </c>
      <c r="Y30" s="16" t="n"/>
      <c r="Z30" s="16" t="n">
        <v>0.64</v>
      </c>
      <c r="AA30" s="16" t="n">
        <v>0.71</v>
      </c>
      <c r="AB30" s="16" t="n">
        <v>44.48</v>
      </c>
      <c r="AC30" s="16" t="n">
        <v>59.48</v>
      </c>
      <c r="AD30" s="16" t="n">
        <v>3.28</v>
      </c>
      <c r="AE30" s="16" t="n">
        <v>4.39</v>
      </c>
      <c r="AF30" s="16" t="n">
        <v>0.9399999999999999</v>
      </c>
      <c r="AG30" s="16" t="n">
        <v>1.26</v>
      </c>
      <c r="AH30" s="16" t="n">
        <v>1.59</v>
      </c>
      <c r="AI30" s="16" t="n">
        <v>10.03</v>
      </c>
      <c r="AJ30" s="16" t="n">
        <v>13.41</v>
      </c>
      <c r="AK30" s="17" t="n">
        <v>45</v>
      </c>
      <c r="AL30" s="11" t="inlineStr">
        <is>
          <t>LOW</t>
        </is>
      </c>
      <c r="AM30" s="11" t="inlineStr">
        <is>
          <t>LOW</t>
        </is>
      </c>
      <c r="AN30" s="11" t="n">
        <v>1210</v>
      </c>
      <c r="AO30" s="18" t="n">
        <v>40.95</v>
      </c>
      <c r="AP30" s="18" t="n">
        <v>23.72</v>
      </c>
      <c r="AQ30" s="18" t="n">
        <v>0.67</v>
      </c>
      <c r="AR30" s="18" t="n">
        <v>17.46</v>
      </c>
      <c r="AS30" s="18" t="n">
        <v>7.53</v>
      </c>
      <c r="AT30" s="18" t="n">
        <v>1.5</v>
      </c>
      <c r="AU30" s="18" t="n">
        <v>1.34</v>
      </c>
      <c r="AV30" s="18" t="n">
        <v>0.27</v>
      </c>
      <c r="AW30" s="18" t="n">
        <v>5.42</v>
      </c>
      <c r="AX30" s="18" t="n">
        <v>0.45</v>
      </c>
      <c r="AY30" s="18" t="inlineStr">
        <is>
          <t>-</t>
        </is>
      </c>
      <c r="AZ30" s="18" t="n">
        <v>0.42</v>
      </c>
      <c r="BA30" s="18" t="n">
        <v>95.37</v>
      </c>
      <c r="BB30" s="18" t="n">
        <v>85.84999999999999</v>
      </c>
      <c r="BC30" s="18" t="n">
        <v>73.84999999999999</v>
      </c>
      <c r="BD30" s="18" t="n">
        <v>23.74</v>
      </c>
      <c r="BE30" s="11" t="inlineStr">
        <is>
          <t>COA-DEMO-0029</t>
        </is>
      </c>
      <c r="BF30" s="19" t="n">
        <v>44114</v>
      </c>
      <c r="BG30" s="20" t="inlineStr">
        <is>
          <t>Jetty Eksisting</t>
        </is>
      </c>
    </row>
    <row r="31">
      <c r="A31" s="10">
        <f>EOMONTH(G31,-1)+1</f>
        <v/>
      </c>
      <c r="B31" s="11" t="n">
        <v>581</v>
      </c>
      <c r="C31" s="11" t="inlineStr">
        <is>
          <t>PT DEMO SUPPLIER 5</t>
        </is>
      </c>
      <c r="D31" s="11" t="inlineStr">
        <is>
          <t>CAPRICORN 42</t>
        </is>
      </c>
      <c r="E31" s="11" t="inlineStr">
        <is>
          <t>CAPRICORN 43</t>
        </is>
      </c>
      <c r="F31" s="12" t="n">
        <v>44106.17361111111</v>
      </c>
      <c r="G31" s="12" t="n">
        <v>44107.64583333334</v>
      </c>
      <c r="H31" s="13" t="n">
        <v>5408.553</v>
      </c>
      <c r="I31" s="11" t="inlineStr">
        <is>
          <t>PT GEOSERVICES</t>
        </is>
      </c>
      <c r="J31" s="14" t="inlineStr">
        <is>
          <t>COA-DEMO-0030</t>
        </is>
      </c>
      <c r="K31" s="15" t="n">
        <v>44107</v>
      </c>
      <c r="L31" s="16" t="n">
        <v>3816</v>
      </c>
      <c r="M31" s="16" t="n"/>
      <c r="N31" s="16" t="n">
        <v>6357</v>
      </c>
      <c r="O31" s="16" t="n">
        <v>39.97</v>
      </c>
      <c r="P31" s="16" t="n">
        <v>17.1</v>
      </c>
      <c r="Q31" s="16" t="n">
        <v>5.97</v>
      </c>
      <c r="R31" s="16" t="n">
        <v>8.24</v>
      </c>
      <c r="S31" s="16" t="n">
        <v>9.94</v>
      </c>
      <c r="T31" s="16" t="n">
        <v>27.25</v>
      </c>
      <c r="U31" s="16" t="n">
        <v>37.63</v>
      </c>
      <c r="V31" s="16" t="n">
        <v>26.81</v>
      </c>
      <c r="W31" s="16" t="n">
        <v>37.03</v>
      </c>
      <c r="X31" s="16" t="n">
        <v>0.31</v>
      </c>
      <c r="Y31" s="16" t="n"/>
      <c r="Z31" s="16" t="n">
        <v>0.52</v>
      </c>
      <c r="AA31" s="16" t="n">
        <v>0.58</v>
      </c>
      <c r="AB31" s="16" t="n">
        <v>40.45</v>
      </c>
      <c r="AC31" s="16" t="n">
        <v>55.86</v>
      </c>
      <c r="AD31" s="16" t="n">
        <v>2.98</v>
      </c>
      <c r="AE31" s="16" t="n">
        <v>4.12</v>
      </c>
      <c r="AF31" s="16" t="n">
        <v>0.8</v>
      </c>
      <c r="AG31" s="16" t="n">
        <v>1.1</v>
      </c>
      <c r="AH31" s="16" t="n">
        <v>1.47</v>
      </c>
      <c r="AI31" s="16" t="n">
        <v>9.52</v>
      </c>
      <c r="AJ31" s="16" t="n">
        <v>13.15</v>
      </c>
      <c r="AK31" s="17" t="n">
        <v>51</v>
      </c>
      <c r="AL31" s="11" t="inlineStr">
        <is>
          <t>LOW</t>
        </is>
      </c>
      <c r="AM31" s="11" t="inlineStr">
        <is>
          <t>MEDIUM</t>
        </is>
      </c>
      <c r="AN31" s="11" t="n">
        <v>1230</v>
      </c>
      <c r="AO31" s="18" t="n">
        <v>37.21</v>
      </c>
      <c r="AP31" s="18" t="n">
        <v>15.12</v>
      </c>
      <c r="AQ31" s="18" t="n">
        <v>0.53</v>
      </c>
      <c r="AR31" s="18" t="n">
        <v>22.09</v>
      </c>
      <c r="AS31" s="18" t="n">
        <v>13.48</v>
      </c>
      <c r="AT31" s="18" t="n">
        <v>2.7</v>
      </c>
      <c r="AU31" s="18" t="n">
        <v>0.8</v>
      </c>
      <c r="AV31" s="18" t="n">
        <v>0.41</v>
      </c>
      <c r="AW31" s="18" t="n">
        <v>6.4</v>
      </c>
      <c r="AX31" s="18" t="n">
        <v>0.153</v>
      </c>
      <c r="AY31" s="18" t="inlineStr">
        <is>
          <t>-</t>
        </is>
      </c>
      <c r="AZ31" s="18" t="n">
        <v>0.8169999999999999</v>
      </c>
      <c r="BA31" s="18" t="n">
        <v>97.95</v>
      </c>
      <c r="BB31" s="18" t="n">
        <v>90.65000000000001</v>
      </c>
      <c r="BC31" s="18" t="n">
        <v>76.47</v>
      </c>
      <c r="BD31" s="18" t="n">
        <v>17.85</v>
      </c>
      <c r="BE31" s="14" t="inlineStr">
        <is>
          <t>COA-DEMO-0030</t>
        </is>
      </c>
      <c r="BF31" s="19" t="n">
        <v>44114</v>
      </c>
      <c r="BG31" s="20" t="inlineStr">
        <is>
          <t>Jetty Eksisting</t>
        </is>
      </c>
    </row>
    <row r="32">
      <c r="A32" s="10">
        <f>EOMONTH(G32,-1)+1</f>
        <v/>
      </c>
      <c r="B32" s="11" t="n">
        <v>582</v>
      </c>
      <c r="C32" s="11" t="inlineStr">
        <is>
          <t>PT DEMO SUPPLIER 8</t>
        </is>
      </c>
      <c r="D32" s="11" t="inlineStr">
        <is>
          <t>MEGA DAYA 11</t>
        </is>
      </c>
      <c r="E32" s="11" t="inlineStr">
        <is>
          <t>NAP 2701</t>
        </is>
      </c>
      <c r="F32" s="12" t="n">
        <v>44107.74652777778</v>
      </c>
      <c r="G32" s="12" t="n">
        <v>44109.46180555555</v>
      </c>
      <c r="H32" s="13" t="n">
        <v>4944.969</v>
      </c>
      <c r="I32" s="11" t="inlineStr">
        <is>
          <t>PT GEOSERVICES</t>
        </is>
      </c>
      <c r="J32" s="11" t="inlineStr">
        <is>
          <t>COA-DEMO-0031</t>
        </is>
      </c>
      <c r="K32" s="15" t="n">
        <v>44109</v>
      </c>
      <c r="L32" s="16" t="n">
        <v>3616</v>
      </c>
      <c r="M32" s="16" t="n"/>
      <c r="N32" s="16" t="n">
        <v>5744</v>
      </c>
      <c r="O32" s="16" t="n">
        <v>37.05</v>
      </c>
      <c r="P32" s="16" t="n">
        <v>11.19</v>
      </c>
      <c r="Q32" s="16" t="n">
        <v>11.59</v>
      </c>
      <c r="R32" s="16" t="n">
        <v>16.35</v>
      </c>
      <c r="S32" s="16" t="n">
        <v>18.41</v>
      </c>
      <c r="T32" s="16" t="n">
        <v>26.04</v>
      </c>
      <c r="U32" s="16" t="n">
        <v>36.74</v>
      </c>
      <c r="V32" s="16" t="n">
        <v>25.32</v>
      </c>
      <c r="W32" s="16" t="n">
        <v>35.72</v>
      </c>
      <c r="X32" s="16" t="n">
        <v>0.38</v>
      </c>
      <c r="Y32" s="16" t="n"/>
      <c r="Z32" s="16" t="n">
        <v>0.6</v>
      </c>
      <c r="AA32" s="16" t="n">
        <v>0.73</v>
      </c>
      <c r="AB32" s="16" t="n">
        <v>37.57</v>
      </c>
      <c r="AC32" s="16" t="n">
        <v>53.01</v>
      </c>
      <c r="AD32" s="16" t="n">
        <v>2.77</v>
      </c>
      <c r="AE32" s="16" t="n">
        <v>3.91</v>
      </c>
      <c r="AF32" s="16" t="n">
        <v>0.65</v>
      </c>
      <c r="AG32" s="16" t="n">
        <v>0.92</v>
      </c>
      <c r="AH32" s="16" t="n">
        <v>1.27</v>
      </c>
      <c r="AI32" s="16" t="n">
        <v>9.99</v>
      </c>
      <c r="AJ32" s="16" t="n">
        <v>14.09</v>
      </c>
      <c r="AK32" s="17" t="n">
        <v>58</v>
      </c>
      <c r="AL32" s="11" t="inlineStr">
        <is>
          <t>LOW</t>
        </is>
      </c>
      <c r="AM32" s="11" t="inlineStr">
        <is>
          <t>LOW</t>
        </is>
      </c>
      <c r="AN32" s="11" t="n">
        <v>1410</v>
      </c>
      <c r="AO32" s="18" t="n">
        <v>41.99</v>
      </c>
      <c r="AP32" s="18" t="n">
        <v>23.6</v>
      </c>
      <c r="AQ32" s="18" t="n">
        <v>0.76</v>
      </c>
      <c r="AR32" s="18" t="n">
        <v>14.03</v>
      </c>
      <c r="AS32" s="18" t="n">
        <v>7.79</v>
      </c>
      <c r="AT32" s="18" t="n">
        <v>1.61</v>
      </c>
      <c r="AU32" s="18" t="n">
        <v>0.85</v>
      </c>
      <c r="AV32" s="18" t="n">
        <v>0.31</v>
      </c>
      <c r="AW32" s="18" t="n">
        <v>7.85</v>
      </c>
      <c r="AX32" s="18" t="n">
        <v>0.25</v>
      </c>
      <c r="AY32" s="18" t="inlineStr">
        <is>
          <t>-</t>
        </is>
      </c>
      <c r="AZ32" s="18" t="n">
        <v>0.451</v>
      </c>
      <c r="BA32" s="18" t="n">
        <v>99.20999999999999</v>
      </c>
      <c r="BB32" s="18" t="n">
        <v>94.48999999999999</v>
      </c>
      <c r="BC32" s="18" t="n">
        <v>85.58</v>
      </c>
      <c r="BD32" s="18" t="n">
        <v>23.97</v>
      </c>
      <c r="BE32" s="11" t="inlineStr">
        <is>
          <t>COA-DEMO-0031</t>
        </is>
      </c>
      <c r="BF32" s="19" t="n">
        <v>44117</v>
      </c>
      <c r="BG32" s="20" t="inlineStr">
        <is>
          <t>Jetty Eksisting</t>
        </is>
      </c>
    </row>
    <row r="33">
      <c r="A33" s="10">
        <f>EOMONTH(G33,-1)+1</f>
        <v/>
      </c>
      <c r="B33" s="11" t="n">
        <v>583</v>
      </c>
      <c r="C33" s="11" t="inlineStr">
        <is>
          <t>PT DEMO SUPPLIER 3</t>
        </is>
      </c>
      <c r="D33" s="11" t="inlineStr">
        <is>
          <t>TANJUNG BAHARI 19</t>
        </is>
      </c>
      <c r="E33" s="11" t="inlineStr">
        <is>
          <t>BAHARI 2711</t>
        </is>
      </c>
      <c r="F33" s="12" t="n">
        <v>44109.53472222222</v>
      </c>
      <c r="G33" s="12" t="n">
        <v>44110.88194444445</v>
      </c>
      <c r="H33" s="13" t="n">
        <v>5893.191</v>
      </c>
      <c r="I33" s="11" t="inlineStr">
        <is>
          <t>PT GEOSERVICES</t>
        </is>
      </c>
      <c r="J33" s="11" t="inlineStr">
        <is>
          <t>COA-DEMO-0032</t>
        </is>
      </c>
      <c r="K33" s="15" t="n">
        <v>44110</v>
      </c>
      <c r="L33" s="16" t="n">
        <v>3948</v>
      </c>
      <c r="M33" s="16" t="n"/>
      <c r="N33" s="16" t="n">
        <v>6392</v>
      </c>
      <c r="O33" s="16" t="n">
        <v>38.24</v>
      </c>
      <c r="P33" s="16" t="n">
        <v>13.11</v>
      </c>
      <c r="Q33" s="16" t="n">
        <v>5.98</v>
      </c>
      <c r="R33" s="16" t="n">
        <v>8.42</v>
      </c>
      <c r="S33" s="16" t="n">
        <v>9.69</v>
      </c>
      <c r="T33" s="16" t="n">
        <v>28.11</v>
      </c>
      <c r="U33" s="16" t="n">
        <v>39.55</v>
      </c>
      <c r="V33" s="16" t="n">
        <v>27.66</v>
      </c>
      <c r="W33" s="16" t="n">
        <v>38.92</v>
      </c>
      <c r="X33" s="16" t="n">
        <v>0.25</v>
      </c>
      <c r="Y33" s="16" t="n"/>
      <c r="Z33" s="16" t="n">
        <v>0.4</v>
      </c>
      <c r="AA33" s="16" t="n">
        <v>0.45</v>
      </c>
      <c r="AB33" s="16" t="n">
        <v>41.56</v>
      </c>
      <c r="AC33" s="16" t="n">
        <v>58.47</v>
      </c>
      <c r="AD33" s="16" t="n">
        <v>3.04</v>
      </c>
      <c r="AE33" s="16" t="n">
        <v>4.28</v>
      </c>
      <c r="AF33" s="16" t="n">
        <v>0.75</v>
      </c>
      <c r="AG33" s="16" t="n">
        <v>1.06</v>
      </c>
      <c r="AH33" s="16" t="n">
        <v>1.35</v>
      </c>
      <c r="AI33" s="16" t="n">
        <v>10.17</v>
      </c>
      <c r="AJ33" s="16" t="n">
        <v>14.31</v>
      </c>
      <c r="AK33" s="17" t="n">
        <v>52</v>
      </c>
      <c r="AL33" s="11" t="inlineStr">
        <is>
          <t>LOW</t>
        </is>
      </c>
      <c r="AM33" s="11" t="inlineStr">
        <is>
          <t>MEDIUM</t>
        </is>
      </c>
      <c r="AN33" s="11" t="n">
        <v>1245</v>
      </c>
      <c r="AO33" s="18" t="n">
        <v>34.09</v>
      </c>
      <c r="AP33" s="18" t="n">
        <v>16.02</v>
      </c>
      <c r="AQ33" s="18" t="n">
        <v>0.33</v>
      </c>
      <c r="AR33" s="18" t="n">
        <v>19.27</v>
      </c>
      <c r="AS33" s="18" t="n">
        <v>17.66</v>
      </c>
      <c r="AT33" s="18" t="n">
        <v>5.51</v>
      </c>
      <c r="AU33" s="18" t="n">
        <v>0.54</v>
      </c>
      <c r="AV33" s="18" t="n">
        <v>0.42</v>
      </c>
      <c r="AW33" s="18" t="n">
        <v>5.53</v>
      </c>
      <c r="AX33" s="18" t="n">
        <v>0.286</v>
      </c>
      <c r="AY33" s="18" t="inlineStr">
        <is>
          <t>-</t>
        </is>
      </c>
      <c r="AZ33" s="18" t="n">
        <v>0.433</v>
      </c>
      <c r="BA33" s="18" t="n">
        <v>95.62</v>
      </c>
      <c r="BB33" s="18" t="n">
        <v>86.59999999999999</v>
      </c>
      <c r="BC33" s="18" t="n">
        <v>68.97</v>
      </c>
      <c r="BD33" s="18" t="n">
        <v>9.32</v>
      </c>
      <c r="BE33" s="11" t="inlineStr">
        <is>
          <t>COA-DEMO-0032</t>
        </is>
      </c>
      <c r="BF33" s="19" t="n">
        <v>44118</v>
      </c>
      <c r="BG33" s="20" t="inlineStr">
        <is>
          <t>Jetty Eksisting</t>
        </is>
      </c>
    </row>
    <row r="34">
      <c r="A34" s="10">
        <f>EOMONTH(G34,-1)+1</f>
        <v/>
      </c>
      <c r="B34" s="11" t="n">
        <v>584</v>
      </c>
      <c r="C34" s="11" t="inlineStr">
        <is>
          <t>PT DEMO SUPPLIER 1</t>
        </is>
      </c>
      <c r="D34" s="11" t="inlineStr">
        <is>
          <t>LL LOTTUS 02</t>
        </is>
      </c>
      <c r="E34" s="11" t="inlineStr">
        <is>
          <t>CAPRICORN 71</t>
        </is>
      </c>
      <c r="F34" s="12" t="n">
        <v>44110.96180555555</v>
      </c>
      <c r="G34" s="12" t="n">
        <v>44112.03819444445</v>
      </c>
      <c r="H34" s="13" t="n">
        <v>5478.203</v>
      </c>
      <c r="I34" s="11" t="inlineStr">
        <is>
          <t>PT GEOSERVICES</t>
        </is>
      </c>
      <c r="J34" s="11" t="inlineStr">
        <is>
          <t>COA-DEMO-0033</t>
        </is>
      </c>
      <c r="K34" s="15" t="n">
        <v>44112</v>
      </c>
      <c r="L34" s="16" t="n">
        <v>4019</v>
      </c>
      <c r="M34" s="16" t="n"/>
      <c r="N34" s="16" t="n">
        <v>6305</v>
      </c>
      <c r="O34" s="16" t="n">
        <v>36.26</v>
      </c>
      <c r="P34" s="16" t="n">
        <v>15.24</v>
      </c>
      <c r="Q34" s="16" t="n">
        <v>4.9</v>
      </c>
      <c r="R34" s="16" t="n">
        <v>6.52</v>
      </c>
      <c r="S34" s="16" t="n">
        <v>7.69</v>
      </c>
      <c r="T34" s="16" t="n">
        <v>31.48</v>
      </c>
      <c r="U34" s="16" t="n">
        <v>41.86</v>
      </c>
      <c r="V34" s="16" t="n">
        <v>27.36</v>
      </c>
      <c r="W34" s="16" t="n">
        <v>36.38</v>
      </c>
      <c r="X34" s="16" t="n">
        <v>0.18</v>
      </c>
      <c r="Y34" s="16" t="n"/>
      <c r="Z34" s="16" t="n">
        <v>0.28</v>
      </c>
      <c r="AA34" s="16" t="n">
        <v>0.31</v>
      </c>
      <c r="AB34" s="16" t="n">
        <v>42.56</v>
      </c>
      <c r="AC34" s="16" t="n">
        <v>56.59</v>
      </c>
      <c r="AD34" s="16" t="n">
        <v>3.21</v>
      </c>
      <c r="AE34" s="16" t="n">
        <v>4.27</v>
      </c>
      <c r="AF34" s="16" t="n">
        <v>0.59</v>
      </c>
      <c r="AG34" s="16" t="n">
        <v>0.78</v>
      </c>
      <c r="AH34" s="16" t="n">
        <v>1</v>
      </c>
      <c r="AI34" s="16" t="n">
        <v>12.3</v>
      </c>
      <c r="AJ34" s="16" t="n">
        <v>16.36</v>
      </c>
      <c r="AK34" s="17" t="n">
        <v>50</v>
      </c>
      <c r="AL34" s="11" t="inlineStr">
        <is>
          <t>LOW</t>
        </is>
      </c>
      <c r="AM34" s="11" t="inlineStr">
        <is>
          <t>MEDIUM</t>
        </is>
      </c>
      <c r="AN34" s="11" t="n">
        <v>1190</v>
      </c>
      <c r="AO34" s="18" t="n">
        <v>39.14</v>
      </c>
      <c r="AP34" s="18" t="n">
        <v>25.13</v>
      </c>
      <c r="AQ34" s="18" t="n">
        <v>0.93</v>
      </c>
      <c r="AR34" s="18" t="n">
        <v>12.55</v>
      </c>
      <c r="AS34" s="18" t="n">
        <v>12.42</v>
      </c>
      <c r="AT34" s="18" t="n">
        <v>2.14</v>
      </c>
      <c r="AU34" s="18" t="n">
        <v>0.42</v>
      </c>
      <c r="AV34" s="18" t="n">
        <v>0.71</v>
      </c>
      <c r="AW34" s="18" t="n">
        <v>5.63</v>
      </c>
      <c r="AX34" s="18" t="n">
        <v>0.08</v>
      </c>
      <c r="AY34" s="18" t="inlineStr">
        <is>
          <t>-</t>
        </is>
      </c>
      <c r="AZ34" s="18" t="n">
        <v>0.715</v>
      </c>
      <c r="BA34" s="18" t="n">
        <v>100</v>
      </c>
      <c r="BB34" s="18" t="n">
        <v>92.97</v>
      </c>
      <c r="BC34" s="18" t="n">
        <v>79.58</v>
      </c>
      <c r="BD34" s="18" t="n">
        <v>9.970000000000001</v>
      </c>
      <c r="BE34" s="11" t="inlineStr">
        <is>
          <t>COA-DEMO-0033</t>
        </is>
      </c>
      <c r="BF34" s="19" t="n">
        <v>44120</v>
      </c>
      <c r="BG34" s="20" t="inlineStr">
        <is>
          <t>Jetty Eksisting</t>
        </is>
      </c>
    </row>
    <row r="35">
      <c r="A35" s="10">
        <f>EOMONTH(G35,-1)+1</f>
        <v/>
      </c>
      <c r="B35" s="11" t="n">
        <v>585</v>
      </c>
      <c r="C35" s="11" t="inlineStr">
        <is>
          <t>PT DEMO SUPPLIER 5</t>
        </is>
      </c>
      <c r="D35" s="11" t="inlineStr">
        <is>
          <t>LL MACAN TUTUL 02</t>
        </is>
      </c>
      <c r="E35" s="11" t="inlineStr">
        <is>
          <t>SUMBER CIPTA III</t>
        </is>
      </c>
      <c r="F35" s="12" t="n">
        <v>44112.13194444445</v>
      </c>
      <c r="G35" s="12" t="n">
        <v>44113.54861111111</v>
      </c>
      <c r="H35" s="13" t="n">
        <v>6057.614</v>
      </c>
      <c r="I35" s="11" t="inlineStr">
        <is>
          <t>PT GEOSERVICES</t>
        </is>
      </c>
      <c r="J35" s="14" t="inlineStr">
        <is>
          <t>COA-DEMO-0034</t>
        </is>
      </c>
      <c r="K35" s="15" t="n">
        <v>44113</v>
      </c>
      <c r="L35" s="16" t="n">
        <v>3798</v>
      </c>
      <c r="M35" s="16" t="n"/>
      <c r="N35" s="16" t="n">
        <v>6423</v>
      </c>
      <c r="O35" s="16" t="n">
        <v>40.87</v>
      </c>
      <c r="P35" s="16" t="n">
        <v>14.68</v>
      </c>
      <c r="Q35" s="16" t="n">
        <v>4.88</v>
      </c>
      <c r="R35" s="16" t="n">
        <v>7.04</v>
      </c>
      <c r="S35" s="16" t="n">
        <v>8.25</v>
      </c>
      <c r="T35" s="16" t="n">
        <v>27.73</v>
      </c>
      <c r="U35" s="16" t="n">
        <v>40.01</v>
      </c>
      <c r="V35" s="16" t="n">
        <v>26.52</v>
      </c>
      <c r="W35" s="16" t="n">
        <v>38.27</v>
      </c>
      <c r="X35" s="16" t="n">
        <v>0.27</v>
      </c>
      <c r="Y35" s="16" t="n"/>
      <c r="Z35" s="16" t="n">
        <v>0.46</v>
      </c>
      <c r="AA35" s="16" t="n">
        <v>0.5</v>
      </c>
      <c r="AB35" s="16" t="n">
        <v>40.35</v>
      </c>
      <c r="AC35" s="16" t="n">
        <v>58.22</v>
      </c>
      <c r="AD35" s="16" t="n">
        <v>2.96</v>
      </c>
      <c r="AE35" s="16" t="n">
        <v>4.27</v>
      </c>
      <c r="AF35" s="16" t="n">
        <v>0.65</v>
      </c>
      <c r="AG35" s="16" t="n">
        <v>0.9399999999999999</v>
      </c>
      <c r="AH35" s="16" t="n">
        <v>1.2</v>
      </c>
      <c r="AI35" s="16" t="n">
        <v>10.02</v>
      </c>
      <c r="AJ35" s="16" t="n">
        <v>14.46</v>
      </c>
      <c r="AK35" s="17" t="n">
        <v>50</v>
      </c>
      <c r="AL35" s="11" t="inlineStr">
        <is>
          <t>LOW</t>
        </is>
      </c>
      <c r="AM35" s="11" t="inlineStr">
        <is>
          <t>LOW</t>
        </is>
      </c>
      <c r="AN35" s="11" t="n">
        <v>1230</v>
      </c>
      <c r="AO35" s="18" t="n">
        <v>43.03</v>
      </c>
      <c r="AP35" s="18" t="n">
        <v>21.62</v>
      </c>
      <c r="AQ35" s="18" t="n">
        <v>0.7</v>
      </c>
      <c r="AR35" s="18" t="n">
        <v>14.25</v>
      </c>
      <c r="AS35" s="18" t="n">
        <v>8.59</v>
      </c>
      <c r="AT35" s="18" t="n">
        <v>2.06</v>
      </c>
      <c r="AU35" s="18" t="n">
        <v>1.45</v>
      </c>
      <c r="AV35" s="18" t="n">
        <v>0.36</v>
      </c>
      <c r="AW35" s="18" t="n">
        <v>7.61</v>
      </c>
      <c r="AX35" s="18" t="n">
        <v>0.17</v>
      </c>
      <c r="AY35" s="18" t="inlineStr">
        <is>
          <t>-</t>
        </is>
      </c>
      <c r="AZ35" s="18" t="n">
        <v>0.47</v>
      </c>
      <c r="BA35" s="18" t="n">
        <v>95.19</v>
      </c>
      <c r="BB35" s="18" t="n">
        <v>86.65000000000001</v>
      </c>
      <c r="BC35" s="18" t="n">
        <v>74.84999999999999</v>
      </c>
      <c r="BD35" s="18" t="n">
        <v>19.48</v>
      </c>
      <c r="BE35" s="14" t="inlineStr">
        <is>
          <t>COA-DEMO-0034</t>
        </is>
      </c>
      <c r="BF35" s="19" t="n">
        <v>44121</v>
      </c>
      <c r="BG35" s="20" t="inlineStr">
        <is>
          <t>Jetty Eksisting</t>
        </is>
      </c>
    </row>
    <row r="36">
      <c r="A36" s="10">
        <f>EOMONTH(G36,-1)+1</f>
        <v/>
      </c>
      <c r="B36" s="11" t="inlineStr">
        <is>
          <t>Lot 28</t>
        </is>
      </c>
      <c r="C36" s="11" t="inlineStr">
        <is>
          <t>PT DEMO SUPPLIER 7</t>
        </is>
      </c>
      <c r="D36" s="11" t="inlineStr">
        <is>
          <t>DUMP TRUCK</t>
        </is>
      </c>
      <c r="E36" s="11" t="inlineStr">
        <is>
          <t>DUMP TRUCK</t>
        </is>
      </c>
      <c r="F36" s="12" t="n">
        <v>44105.61597222222</v>
      </c>
      <c r="G36" s="12" t="n">
        <v>44114.48611111111</v>
      </c>
      <c r="H36" s="13" t="n">
        <v>5065.23</v>
      </c>
      <c r="I36" s="11" t="inlineStr">
        <is>
          <t>PT GEOSERVICES</t>
        </is>
      </c>
      <c r="J36" s="14" t="inlineStr">
        <is>
          <t>COA-DEMO-0035</t>
        </is>
      </c>
      <c r="K36" s="15" t="n">
        <v>44121</v>
      </c>
      <c r="L36" s="16" t="n">
        <v>4094</v>
      </c>
      <c r="M36" s="16" t="n"/>
      <c r="N36" s="16" t="n">
        <v>6490</v>
      </c>
      <c r="O36" s="16" t="n">
        <v>36.92</v>
      </c>
      <c r="P36" s="16" t="n">
        <v>14.73</v>
      </c>
      <c r="Q36" s="16" t="n">
        <v>4.98</v>
      </c>
      <c r="R36" s="16" t="n">
        <v>6.73</v>
      </c>
      <c r="S36" s="16" t="n">
        <v>7.89</v>
      </c>
      <c r="T36" s="16" t="n">
        <v>29.01</v>
      </c>
      <c r="U36" s="16" t="n">
        <v>39.22</v>
      </c>
      <c r="V36" s="16" t="n">
        <v>29.09</v>
      </c>
      <c r="W36" s="16" t="n">
        <v>39.32</v>
      </c>
      <c r="X36" s="16" t="n">
        <v>0.23</v>
      </c>
      <c r="Y36" s="16" t="n"/>
      <c r="Z36" s="16" t="n">
        <v>0.36</v>
      </c>
      <c r="AA36" s="16" t="n">
        <v>0.39</v>
      </c>
      <c r="AB36" s="16" t="n">
        <v>43.76</v>
      </c>
      <c r="AC36" s="16" t="n">
        <v>59.16</v>
      </c>
      <c r="AD36" s="16" t="n">
        <v>3.17</v>
      </c>
      <c r="AE36" s="16" t="n">
        <v>4.28</v>
      </c>
      <c r="AF36" s="16" t="n">
        <v>0.76</v>
      </c>
      <c r="AG36" s="16" t="n">
        <v>1.03</v>
      </c>
      <c r="AH36" s="16" t="n">
        <v>1.31</v>
      </c>
      <c r="AI36" s="16" t="n">
        <v>10.18</v>
      </c>
      <c r="AJ36" s="16" t="n">
        <v>13.76</v>
      </c>
      <c r="AK36" s="17" t="n">
        <v>50</v>
      </c>
      <c r="AL36" s="11" t="inlineStr">
        <is>
          <t>LOW</t>
        </is>
      </c>
      <c r="AM36" s="11" t="inlineStr">
        <is>
          <t>LOW</t>
        </is>
      </c>
      <c r="AN36" s="11" t="n">
        <v>1230</v>
      </c>
      <c r="AO36" s="18" t="n">
        <v>45.11</v>
      </c>
      <c r="AP36" s="18" t="n">
        <v>25.03</v>
      </c>
      <c r="AQ36" s="18" t="n">
        <v>1.07</v>
      </c>
      <c r="AR36" s="18" t="n">
        <v>9.699999999999999</v>
      </c>
      <c r="AS36" s="18" t="n">
        <v>6.77</v>
      </c>
      <c r="AT36" s="18" t="n">
        <v>1.86</v>
      </c>
      <c r="AU36" s="18" t="n">
        <v>0.92</v>
      </c>
      <c r="AV36" s="18" t="n">
        <v>0.21</v>
      </c>
      <c r="AW36" s="18" t="n">
        <v>8.390000000000001</v>
      </c>
      <c r="AX36" s="18" t="n">
        <v>0.13</v>
      </c>
      <c r="AY36" s="18" t="inlineStr">
        <is>
          <t>-</t>
        </is>
      </c>
      <c r="AZ36" s="18" t="n">
        <v>0.34</v>
      </c>
      <c r="BA36" s="18" t="n">
        <v>97.51000000000001</v>
      </c>
      <c r="BB36" s="18" t="n">
        <v>88.45</v>
      </c>
      <c r="BC36" s="18" t="n">
        <v>72.54000000000001</v>
      </c>
      <c r="BD36" s="18" t="n">
        <v>18.23</v>
      </c>
      <c r="BE36" s="14" t="inlineStr">
        <is>
          <t>COA-DEMO-0035</t>
        </is>
      </c>
      <c r="BF36" s="19" t="n">
        <v>44121</v>
      </c>
      <c r="BG36" s="20" t="inlineStr">
        <is>
          <t>Moda Trucking</t>
        </is>
      </c>
    </row>
    <row r="37">
      <c r="A37" s="10">
        <f>EOMONTH(G37,-1)+1</f>
        <v/>
      </c>
      <c r="B37" s="11" t="inlineStr">
        <is>
          <t>Lot 27</t>
        </is>
      </c>
      <c r="C37" s="11" t="inlineStr">
        <is>
          <t>PT DEMO SUPPLIER 4</t>
        </is>
      </c>
      <c r="D37" s="11" t="inlineStr">
        <is>
          <t>DUMP TRUCK</t>
        </is>
      </c>
      <c r="E37" s="11" t="inlineStr">
        <is>
          <t>DUMP TRUCK</t>
        </is>
      </c>
      <c r="F37" s="12" t="n">
        <v>44104.58541666667</v>
      </c>
      <c r="G37" s="12" t="n">
        <v>44114.72847222222</v>
      </c>
      <c r="H37" s="13" t="n">
        <v>5055.3</v>
      </c>
      <c r="I37" s="11" t="inlineStr">
        <is>
          <t>PT GEOSERVICES</t>
        </is>
      </c>
      <c r="J37" s="14" t="inlineStr">
        <is>
          <t>COA-DEMO-0036</t>
        </is>
      </c>
      <c r="K37" s="15" t="n">
        <v>44121</v>
      </c>
      <c r="L37" s="16" t="n">
        <v>4161</v>
      </c>
      <c r="M37" s="16" t="n"/>
      <c r="N37" s="16" t="n">
        <v>6355</v>
      </c>
      <c r="O37" s="16" t="n">
        <v>34.52</v>
      </c>
      <c r="P37" s="16" t="n">
        <v>15.07</v>
      </c>
      <c r="Q37" s="16" t="n">
        <v>5.75</v>
      </c>
      <c r="R37" s="16" t="n">
        <v>7.46</v>
      </c>
      <c r="S37" s="16" t="n">
        <v>8.779999999999999</v>
      </c>
      <c r="T37" s="16" t="n">
        <v>29.89</v>
      </c>
      <c r="U37" s="16" t="n">
        <v>38.77</v>
      </c>
      <c r="V37" s="16" t="n">
        <v>29.84</v>
      </c>
      <c r="W37" s="16" t="n">
        <v>38.7</v>
      </c>
      <c r="X37" s="16" t="n">
        <v>0.28</v>
      </c>
      <c r="Y37" s="16" t="n"/>
      <c r="Z37" s="16" t="n">
        <v>0.42</v>
      </c>
      <c r="AA37" s="16" t="n">
        <v>0.46</v>
      </c>
      <c r="AB37" s="16" t="n">
        <v>43.69</v>
      </c>
      <c r="AC37" s="16" t="n">
        <v>56.67</v>
      </c>
      <c r="AD37" s="16" t="n">
        <v>3.3</v>
      </c>
      <c r="AE37" s="16" t="n">
        <v>4.28</v>
      </c>
      <c r="AF37" s="16" t="n">
        <v>0.73</v>
      </c>
      <c r="AG37" s="16" t="n">
        <v>0.95</v>
      </c>
      <c r="AH37" s="16" t="n">
        <v>1.23</v>
      </c>
      <c r="AI37" s="16" t="n">
        <v>11.73</v>
      </c>
      <c r="AJ37" s="16" t="n">
        <v>15.21</v>
      </c>
      <c r="AK37" s="17" t="n">
        <v>50</v>
      </c>
      <c r="AL37" s="11" t="inlineStr">
        <is>
          <t>LOW</t>
        </is>
      </c>
      <c r="AM37" s="11" t="inlineStr">
        <is>
          <t>LOW</t>
        </is>
      </c>
      <c r="AN37" s="11" t="n">
        <v>1230</v>
      </c>
      <c r="AO37" s="18" t="n">
        <v>38.93</v>
      </c>
      <c r="AP37" s="18" t="n">
        <v>21.81</v>
      </c>
      <c r="AQ37" s="18" t="n">
        <v>0.83</v>
      </c>
      <c r="AR37" s="18" t="n">
        <v>14.13</v>
      </c>
      <c r="AS37" s="18" t="n">
        <v>10.92</v>
      </c>
      <c r="AT37" s="18" t="n">
        <v>2.71</v>
      </c>
      <c r="AU37" s="18" t="n">
        <v>0.89</v>
      </c>
      <c r="AV37" s="18" t="n">
        <v>0.35</v>
      </c>
      <c r="AW37" s="18" t="n">
        <v>8.77</v>
      </c>
      <c r="AX37" s="18" t="n">
        <v>0.19</v>
      </c>
      <c r="AY37" s="18" t="inlineStr">
        <is>
          <t>-</t>
        </is>
      </c>
      <c r="AZ37" s="18" t="n">
        <v>0.31</v>
      </c>
      <c r="BA37" s="18" t="n">
        <v>98.92</v>
      </c>
      <c r="BB37" s="18" t="n">
        <v>91.05</v>
      </c>
      <c r="BC37" s="18" t="n">
        <v>73.12</v>
      </c>
      <c r="BD37" s="18" t="n">
        <v>18.95</v>
      </c>
      <c r="BE37" s="14" t="inlineStr">
        <is>
          <t>COA-DEMO-0036</t>
        </is>
      </c>
      <c r="BF37" s="19" t="n">
        <v>44121</v>
      </c>
      <c r="BG37" s="20" t="inlineStr">
        <is>
          <t>Moda Trucking</t>
        </is>
      </c>
    </row>
    <row r="38">
      <c r="A38" s="10">
        <f>EOMONTH(G38,-1)+1</f>
        <v/>
      </c>
      <c r="B38" s="11" t="n">
        <v>586</v>
      </c>
      <c r="C38" s="11" t="inlineStr">
        <is>
          <t>PT DEMO SUPPLIER 7</t>
        </is>
      </c>
      <c r="D38" s="11" t="inlineStr">
        <is>
          <t>KSD 17</t>
        </is>
      </c>
      <c r="E38" s="11" t="inlineStr">
        <is>
          <t>KSD 38</t>
        </is>
      </c>
      <c r="F38" s="12" t="n">
        <v>44113.63541666666</v>
      </c>
      <c r="G38" s="12" t="n">
        <v>44115.34027777778</v>
      </c>
      <c r="H38" s="13" t="n">
        <v>5599.423</v>
      </c>
      <c r="I38" s="11" t="inlineStr">
        <is>
          <t>PT GEOSERVICES</t>
        </is>
      </c>
      <c r="J38" s="14" t="inlineStr">
        <is>
          <t>COA-DEMO-0037</t>
        </is>
      </c>
      <c r="K38" s="15" t="n">
        <v>44115</v>
      </c>
      <c r="L38" s="16" t="n">
        <v>3999</v>
      </c>
      <c r="M38" s="16" t="n"/>
      <c r="N38" s="16" t="n">
        <v>6437</v>
      </c>
      <c r="O38" s="16" t="n">
        <v>37.87</v>
      </c>
      <c r="P38" s="16" t="n">
        <v>16.53</v>
      </c>
      <c r="Q38" s="16" t="n">
        <v>5.97</v>
      </c>
      <c r="R38" s="16" t="n">
        <v>8.02</v>
      </c>
      <c r="S38" s="16" t="n">
        <v>9.609999999999999</v>
      </c>
      <c r="T38" s="16" t="n">
        <v>28.52</v>
      </c>
      <c r="U38" s="16" t="n">
        <v>38.32</v>
      </c>
      <c r="V38" s="16" t="n">
        <v>27.64</v>
      </c>
      <c r="W38" s="16" t="n">
        <v>37.13</v>
      </c>
      <c r="X38" s="16" t="n">
        <v>0.22</v>
      </c>
      <c r="Y38" s="16" t="n"/>
      <c r="Z38" s="16" t="n">
        <v>0.36</v>
      </c>
      <c r="AA38" s="16" t="n">
        <v>0.4</v>
      </c>
      <c r="AB38" s="16" t="n">
        <v>42.21</v>
      </c>
      <c r="AC38" s="16" t="n">
        <v>56.71</v>
      </c>
      <c r="AD38" s="16" t="n">
        <v>3.21</v>
      </c>
      <c r="AE38" s="16" t="n">
        <v>4.31</v>
      </c>
      <c r="AF38" s="16" t="n">
        <v>0.66</v>
      </c>
      <c r="AG38" s="16" t="n">
        <v>0.89</v>
      </c>
      <c r="AH38" s="16" t="n">
        <v>1.18</v>
      </c>
      <c r="AI38" s="16" t="n">
        <v>9.859999999999999</v>
      </c>
      <c r="AJ38" s="16" t="n">
        <v>13.24</v>
      </c>
      <c r="AK38" s="17" t="n">
        <v>54</v>
      </c>
      <c r="AL38" s="11" t="inlineStr">
        <is>
          <t>LOW</t>
        </is>
      </c>
      <c r="AM38" s="11" t="inlineStr">
        <is>
          <t>LOW</t>
        </is>
      </c>
      <c r="AN38" s="11" t="n">
        <v>1230</v>
      </c>
      <c r="AO38" s="18" t="n">
        <v>45.03</v>
      </c>
      <c r="AP38" s="18" t="n">
        <v>24.89</v>
      </c>
      <c r="AQ38" s="18" t="n">
        <v>1.01</v>
      </c>
      <c r="AR38" s="18" t="n">
        <v>9.279999999999999</v>
      </c>
      <c r="AS38" s="18" t="n">
        <v>7.13</v>
      </c>
      <c r="AT38" s="18" t="n">
        <v>1.86</v>
      </c>
      <c r="AU38" s="18" t="n">
        <v>0.91</v>
      </c>
      <c r="AV38" s="18" t="n">
        <v>0.22</v>
      </c>
      <c r="AW38" s="18" t="n">
        <v>8.32</v>
      </c>
      <c r="AX38" s="18" t="n">
        <v>0.14</v>
      </c>
      <c r="AY38" s="18" t="inlineStr">
        <is>
          <t>-</t>
        </is>
      </c>
      <c r="AZ38" s="18" t="n">
        <v>0.36</v>
      </c>
      <c r="BA38" s="18" t="n">
        <v>95.3</v>
      </c>
      <c r="BB38" s="18" t="n">
        <v>88.36</v>
      </c>
      <c r="BC38" s="18" t="n">
        <v>73.65000000000001</v>
      </c>
      <c r="BD38" s="18" t="n">
        <v>14.24</v>
      </c>
      <c r="BE38" s="14" t="inlineStr">
        <is>
          <t>COA-DEMO-0037</t>
        </is>
      </c>
      <c r="BF38" s="19" t="n">
        <v>44123</v>
      </c>
      <c r="BG38" s="20" t="inlineStr">
        <is>
          <t>Jetty Eksisting</t>
        </is>
      </c>
    </row>
    <row r="39">
      <c r="A39" s="10">
        <f>EOMONTH(G39,-1)+1</f>
        <v/>
      </c>
      <c r="B39" s="11" t="n">
        <v>587</v>
      </c>
      <c r="C39" s="11" t="inlineStr">
        <is>
          <t>PT DEMO SUPPLIER 5</t>
        </is>
      </c>
      <c r="D39" s="11" t="inlineStr">
        <is>
          <t>LL MULIA</t>
        </is>
      </c>
      <c r="E39" s="11" t="inlineStr">
        <is>
          <t>LL 2714</t>
        </is>
      </c>
      <c r="F39" s="12" t="n">
        <v>44115.45833333334</v>
      </c>
      <c r="G39" s="12" t="n">
        <v>44116.77777777778</v>
      </c>
      <c r="H39" s="13" t="n">
        <v>5350.05</v>
      </c>
      <c r="I39" s="11" t="inlineStr">
        <is>
          <t>PT GEOSERVICES</t>
        </is>
      </c>
      <c r="J39" s="11" t="inlineStr">
        <is>
          <t>COA-DEMO-0038</t>
        </is>
      </c>
      <c r="K39" s="15" t="n">
        <v>44116</v>
      </c>
      <c r="L39" s="16" t="n">
        <v>3906</v>
      </c>
      <c r="M39" s="16" t="n"/>
      <c r="N39" s="16" t="n">
        <v>6421</v>
      </c>
      <c r="O39" s="16" t="n">
        <v>39.17</v>
      </c>
      <c r="P39" s="16" t="n">
        <v>13.73</v>
      </c>
      <c r="Q39" s="16" t="n">
        <v>5.79</v>
      </c>
      <c r="R39" s="16" t="n">
        <v>8.210000000000001</v>
      </c>
      <c r="S39" s="16" t="n">
        <v>9.52</v>
      </c>
      <c r="T39" s="16" t="n">
        <v>27.49</v>
      </c>
      <c r="U39" s="16" t="n">
        <v>39.98</v>
      </c>
      <c r="V39" s="16" t="n">
        <v>27.56</v>
      </c>
      <c r="W39" s="16" t="n">
        <v>39.08</v>
      </c>
      <c r="X39" s="16" t="n">
        <v>0.3</v>
      </c>
      <c r="Y39" s="16" t="n"/>
      <c r="Z39" s="16" t="n">
        <v>0.5</v>
      </c>
      <c r="AA39" s="16" t="n">
        <v>0.55</v>
      </c>
      <c r="AB39" s="16" t="n">
        <v>41.21</v>
      </c>
      <c r="AC39" s="16" t="n">
        <v>58.44</v>
      </c>
      <c r="AD39" s="16" t="n">
        <v>2.91</v>
      </c>
      <c r="AE39" s="16" t="n">
        <v>4.12</v>
      </c>
      <c r="AF39" s="16" t="n">
        <v>0.92</v>
      </c>
      <c r="AG39" s="16" t="n">
        <v>1.31</v>
      </c>
      <c r="AH39" s="16" t="n">
        <v>1.68</v>
      </c>
      <c r="AI39" s="16" t="n">
        <v>9.699999999999999</v>
      </c>
      <c r="AJ39" s="16" t="n">
        <v>13.76</v>
      </c>
      <c r="AK39" s="17" t="n">
        <v>50</v>
      </c>
      <c r="AL39" s="11" t="inlineStr">
        <is>
          <t>LOW</t>
        </is>
      </c>
      <c r="AM39" s="11" t="inlineStr">
        <is>
          <t>LOW</t>
        </is>
      </c>
      <c r="AN39" s="11" t="n">
        <v>1230</v>
      </c>
      <c r="AO39" s="18" t="n">
        <v>42.51</v>
      </c>
      <c r="AP39" s="18" t="n">
        <v>21.93</v>
      </c>
      <c r="AQ39" s="18" t="n">
        <v>0.72</v>
      </c>
      <c r="AR39" s="18" t="n">
        <v>14.24</v>
      </c>
      <c r="AS39" s="18" t="n">
        <v>8.49</v>
      </c>
      <c r="AT39" s="18" t="n">
        <v>2.09</v>
      </c>
      <c r="AU39" s="18" t="n">
        <v>1.46</v>
      </c>
      <c r="AV39" s="18" t="n">
        <v>0.32</v>
      </c>
      <c r="AW39" s="18" t="n">
        <v>7.64</v>
      </c>
      <c r="AX39" s="18" t="n">
        <v>0.15</v>
      </c>
      <c r="AY39" s="18" t="inlineStr">
        <is>
          <t>-</t>
        </is>
      </c>
      <c r="AZ39" s="18" t="n">
        <v>0.47</v>
      </c>
      <c r="BA39" s="18" t="n">
        <v>95.56</v>
      </c>
      <c r="BB39" s="18" t="n">
        <v>89.06</v>
      </c>
      <c r="BC39" s="18" t="n">
        <v>77.84999999999999</v>
      </c>
      <c r="BD39" s="18" t="n">
        <v>12.44</v>
      </c>
      <c r="BE39" s="11" t="inlineStr">
        <is>
          <t>COA-DEMO-0038</t>
        </is>
      </c>
      <c r="BF39" s="19" t="n">
        <v>44124</v>
      </c>
      <c r="BG39" s="20" t="inlineStr">
        <is>
          <t>Jetty Eksisting</t>
        </is>
      </c>
    </row>
    <row r="40">
      <c r="A40" s="10">
        <f>EOMONTH(G40,-1)+1</f>
        <v/>
      </c>
      <c r="B40" s="11" t="n">
        <v>588</v>
      </c>
      <c r="C40" s="11" t="inlineStr">
        <is>
          <t>PT DEMO SUPPLIER 5</t>
        </is>
      </c>
      <c r="D40" s="11" t="inlineStr">
        <is>
          <t>LL LEXXUS 03</t>
        </is>
      </c>
      <c r="E40" s="11" t="inlineStr">
        <is>
          <t>LL 2518</t>
        </is>
      </c>
      <c r="F40" s="12" t="n">
        <v>44116.84375</v>
      </c>
      <c r="G40" s="12" t="n">
        <v>44117.77777777778</v>
      </c>
      <c r="H40" s="13" t="n">
        <v>4014.714</v>
      </c>
      <c r="I40" s="11" t="inlineStr">
        <is>
          <t>PT GEOSERVICES</t>
        </is>
      </c>
      <c r="J40" s="11" t="inlineStr">
        <is>
          <t>COA-DEMO-0039</t>
        </is>
      </c>
      <c r="K40" s="15" t="n">
        <v>44117</v>
      </c>
      <c r="L40" s="16" t="n">
        <v>4002</v>
      </c>
      <c r="M40" s="16" t="n"/>
      <c r="N40" s="16" t="n">
        <v>6365</v>
      </c>
      <c r="O40" s="16" t="n">
        <v>37.12</v>
      </c>
      <c r="P40" s="16" t="n">
        <v>14.33</v>
      </c>
      <c r="Q40" s="16" t="n">
        <v>5.28</v>
      </c>
      <c r="R40" s="16" t="n">
        <v>7.19</v>
      </c>
      <c r="S40" s="16" t="n">
        <v>8.390000000000001</v>
      </c>
      <c r="T40" s="16" t="n">
        <v>29.48</v>
      </c>
      <c r="U40" s="16" t="n">
        <v>40.17</v>
      </c>
      <c r="V40" s="16" t="n">
        <v>28.12</v>
      </c>
      <c r="W40" s="16" t="n">
        <v>38.31</v>
      </c>
      <c r="X40" s="16" t="n">
        <v>0.29</v>
      </c>
      <c r="Y40" s="16" t="n"/>
      <c r="Z40" s="16" t="n">
        <v>0.46</v>
      </c>
      <c r="AA40" s="16" t="n">
        <v>0.5</v>
      </c>
      <c r="AB40" s="16" t="n">
        <v>42.01</v>
      </c>
      <c r="AC40" s="16" t="n">
        <v>57.23</v>
      </c>
      <c r="AD40" s="16" t="n">
        <v>3.08</v>
      </c>
      <c r="AE40" s="16" t="n">
        <v>4.2</v>
      </c>
      <c r="AF40" s="16" t="n">
        <v>0.75</v>
      </c>
      <c r="AG40" s="16" t="n">
        <v>1.02</v>
      </c>
      <c r="AH40" s="16" t="n">
        <v>1.3</v>
      </c>
      <c r="AI40" s="16" t="n">
        <v>11.48</v>
      </c>
      <c r="AJ40" s="16" t="n">
        <v>15.64</v>
      </c>
      <c r="AK40" s="17" t="n">
        <v>51</v>
      </c>
      <c r="AL40" s="11" t="inlineStr">
        <is>
          <t>LOW</t>
        </is>
      </c>
      <c r="AM40" s="11" t="inlineStr">
        <is>
          <t>LOW</t>
        </is>
      </c>
      <c r="AN40" s="11" t="n">
        <v>1200</v>
      </c>
      <c r="AO40" s="18" t="n">
        <v>44.97</v>
      </c>
      <c r="AP40" s="18" t="n">
        <v>22.31</v>
      </c>
      <c r="AQ40" s="18" t="n">
        <v>0.74</v>
      </c>
      <c r="AR40" s="18" t="n">
        <v>14.12</v>
      </c>
      <c r="AS40" s="18" t="n">
        <v>7.19</v>
      </c>
      <c r="AT40" s="18" t="n">
        <v>1.82</v>
      </c>
      <c r="AU40" s="18" t="n">
        <v>0.77</v>
      </c>
      <c r="AV40" s="18" t="n">
        <v>0.23</v>
      </c>
      <c r="AW40" s="18" t="n">
        <v>6.62</v>
      </c>
      <c r="AX40" s="18" t="n">
        <v>0.12</v>
      </c>
      <c r="AY40" s="18" t="inlineStr">
        <is>
          <t>-</t>
        </is>
      </c>
      <c r="AZ40" s="18" t="n">
        <v>0.44</v>
      </c>
      <c r="BA40" s="18" t="n">
        <v>99.33</v>
      </c>
      <c r="BB40" s="18" t="n">
        <v>94.66</v>
      </c>
      <c r="BC40" s="18" t="n">
        <v>81.79000000000001</v>
      </c>
      <c r="BD40" s="18" t="n">
        <v>17.85</v>
      </c>
      <c r="BE40" s="11" t="inlineStr">
        <is>
          <t>COA-DEMO-0039</t>
        </is>
      </c>
      <c r="BF40" s="19" t="n">
        <v>44125</v>
      </c>
      <c r="BG40" s="20" t="inlineStr">
        <is>
          <t>Jetty Eksisting</t>
        </is>
      </c>
    </row>
    <row r="41">
      <c r="A41" s="10">
        <f>EOMONTH(G41,-1)+1</f>
        <v/>
      </c>
      <c r="B41" s="11" t="inlineStr">
        <is>
          <t>Lot 29</t>
        </is>
      </c>
      <c r="C41" s="11" t="inlineStr">
        <is>
          <t>PT DEMO SUPPLIER 7</t>
        </is>
      </c>
      <c r="D41" s="11" t="inlineStr">
        <is>
          <t>DUMP TRUCK</t>
        </is>
      </c>
      <c r="E41" s="11" t="inlineStr">
        <is>
          <t>DUMP TRUCK</t>
        </is>
      </c>
      <c r="F41" s="12" t="n">
        <v>44114.47986111111</v>
      </c>
      <c r="G41" s="12" t="n">
        <v>44119.525</v>
      </c>
      <c r="H41" s="13" t="n">
        <v>5049.86</v>
      </c>
      <c r="I41" s="11" t="inlineStr">
        <is>
          <t>PT GEOSERVICES</t>
        </is>
      </c>
      <c r="J41" s="14" t="inlineStr">
        <is>
          <t>COA-DEMO-0040</t>
        </is>
      </c>
      <c r="K41" s="15" t="n">
        <v>44126</v>
      </c>
      <c r="L41" s="16" t="n">
        <v>4048</v>
      </c>
      <c r="M41" s="16" t="n"/>
      <c r="N41" s="16" t="n">
        <v>6412</v>
      </c>
      <c r="O41" s="16" t="n">
        <v>36.88</v>
      </c>
      <c r="P41" s="16" t="n">
        <v>13.84</v>
      </c>
      <c r="Q41" s="16" t="n">
        <v>5.48</v>
      </c>
      <c r="R41" s="16" t="n">
        <v>7.48</v>
      </c>
      <c r="S41" s="16" t="n">
        <v>8.68</v>
      </c>
      <c r="T41" s="16" t="n">
        <v>29.11</v>
      </c>
      <c r="U41" s="16" t="n">
        <v>39.74</v>
      </c>
      <c r="V41" s="16" t="n">
        <v>28.53</v>
      </c>
      <c r="W41" s="16" t="n">
        <v>38.94</v>
      </c>
      <c r="X41" s="16" t="n">
        <v>0.23</v>
      </c>
      <c r="Y41" s="16" t="n"/>
      <c r="Z41" s="16" t="n">
        <v>0.36</v>
      </c>
      <c r="AA41" s="16" t="n">
        <v>0.39</v>
      </c>
      <c r="AB41" s="16" t="n">
        <v>42.6</v>
      </c>
      <c r="AC41" s="16" t="n">
        <v>58.15</v>
      </c>
      <c r="AD41" s="16" t="n">
        <v>4.23</v>
      </c>
      <c r="AE41" s="16" t="n">
        <v>5.77</v>
      </c>
      <c r="AF41" s="16" t="n">
        <v>0.6899999999999999</v>
      </c>
      <c r="AG41" s="16" t="n">
        <v>0.9399999999999999</v>
      </c>
      <c r="AH41" s="16" t="n">
        <v>1.19</v>
      </c>
      <c r="AI41" s="16" t="n">
        <v>9.9</v>
      </c>
      <c r="AJ41" s="16" t="n">
        <v>13.51</v>
      </c>
      <c r="AK41" s="17" t="n">
        <v>51</v>
      </c>
      <c r="AL41" s="11" t="inlineStr">
        <is>
          <t>LOW</t>
        </is>
      </c>
      <c r="AM41" s="11" t="inlineStr">
        <is>
          <t>LOW</t>
        </is>
      </c>
      <c r="AN41" s="11" t="n">
        <v>1210</v>
      </c>
      <c r="AO41" s="18" t="n">
        <v>32.13</v>
      </c>
      <c r="AP41" s="18" t="n">
        <v>21.07</v>
      </c>
      <c r="AQ41" s="18" t="n">
        <v>0.67</v>
      </c>
      <c r="AR41" s="18" t="n">
        <v>15.98</v>
      </c>
      <c r="AS41" s="18" t="n">
        <v>15.62</v>
      </c>
      <c r="AT41" s="18" t="n">
        <v>2.25</v>
      </c>
      <c r="AU41" s="18" t="n">
        <v>0.64</v>
      </c>
      <c r="AV41" s="18" t="n">
        <v>0.25</v>
      </c>
      <c r="AW41" s="18" t="n">
        <v>10.19</v>
      </c>
      <c r="AX41" s="18" t="n">
        <v>0.45</v>
      </c>
      <c r="AY41" s="18" t="inlineStr">
        <is>
          <t>-</t>
        </is>
      </c>
      <c r="AZ41" s="18" t="n">
        <v>0.57</v>
      </c>
      <c r="BA41" s="18" t="n">
        <v>96.38</v>
      </c>
      <c r="BB41" s="18" t="n">
        <v>88.52</v>
      </c>
      <c r="BC41" s="18" t="n">
        <v>76.12</v>
      </c>
      <c r="BD41" s="18" t="n">
        <v>19.85</v>
      </c>
      <c r="BE41" s="14" t="inlineStr">
        <is>
          <t>COA-DEMO-0040</t>
        </is>
      </c>
      <c r="BF41" s="19" t="n">
        <v>44126</v>
      </c>
      <c r="BG41" s="20" t="inlineStr">
        <is>
          <t>Moda Trucking</t>
        </is>
      </c>
    </row>
    <row r="42">
      <c r="A42" s="10">
        <f>EOMONTH(G42,-1)+1</f>
        <v/>
      </c>
      <c r="B42" s="11" t="n">
        <v>589</v>
      </c>
      <c r="C42" s="11" t="inlineStr">
        <is>
          <t>PT DEMO SUPPLIER 5</t>
        </is>
      </c>
      <c r="D42" s="11" t="inlineStr">
        <is>
          <t>LL MASERATII 03</t>
        </is>
      </c>
      <c r="E42" s="11" t="inlineStr">
        <is>
          <t>LL 2712</t>
        </is>
      </c>
      <c r="F42" s="12" t="n">
        <v>44120.07638888889</v>
      </c>
      <c r="G42" s="12" t="n">
        <v>44121.52430555555</v>
      </c>
      <c r="H42" s="13" t="n">
        <v>5466.746</v>
      </c>
      <c r="I42" s="11" t="inlineStr">
        <is>
          <t>PT GEOSERVICES</t>
        </is>
      </c>
      <c r="J42" s="14" t="inlineStr">
        <is>
          <t>COA-DEMO-0041</t>
        </is>
      </c>
      <c r="K42" s="15" t="n">
        <v>44121</v>
      </c>
      <c r="L42" s="16" t="n">
        <v>4055</v>
      </c>
      <c r="M42" s="16" t="n"/>
      <c r="N42" s="16" t="n">
        <v>6524</v>
      </c>
      <c r="O42" s="16" t="n">
        <v>37.85</v>
      </c>
      <c r="P42" s="16" t="n">
        <v>15.57</v>
      </c>
      <c r="Q42" s="16" t="n">
        <v>4.29</v>
      </c>
      <c r="R42" s="16" t="n">
        <v>5.83</v>
      </c>
      <c r="S42" s="16" t="n">
        <v>6.91</v>
      </c>
      <c r="T42" s="16" t="n">
        <v>30.18</v>
      </c>
      <c r="U42" s="16" t="n">
        <v>41</v>
      </c>
      <c r="V42" s="16" t="n">
        <v>27.68</v>
      </c>
      <c r="W42" s="16" t="n">
        <v>37.6</v>
      </c>
      <c r="X42" s="16" t="n">
        <v>0.22</v>
      </c>
      <c r="Y42" s="16" t="n"/>
      <c r="Z42" s="16" t="n">
        <v>0.36</v>
      </c>
      <c r="AA42" s="16" t="n">
        <v>0.38</v>
      </c>
      <c r="AB42" s="16" t="n">
        <v>37.16</v>
      </c>
      <c r="AC42" s="16" t="n">
        <v>50.48</v>
      </c>
      <c r="AD42" s="16" t="n">
        <v>3.19</v>
      </c>
      <c r="AE42" s="16" t="n">
        <v>4.34</v>
      </c>
      <c r="AF42" s="16" t="n">
        <v>0.74</v>
      </c>
      <c r="AG42" s="16" t="n">
        <v>1.01</v>
      </c>
      <c r="AH42" s="16" t="n">
        <v>1.28</v>
      </c>
      <c r="AI42" s="16" t="n">
        <v>16.54</v>
      </c>
      <c r="AJ42" s="16" t="n">
        <v>22.47</v>
      </c>
      <c r="AK42" s="17" t="n">
        <v>56</v>
      </c>
      <c r="AL42" s="11" t="inlineStr">
        <is>
          <t>LOW</t>
        </is>
      </c>
      <c r="AM42" s="11" t="inlineStr">
        <is>
          <t>LOW</t>
        </is>
      </c>
      <c r="AN42" s="11" t="n">
        <v>1190</v>
      </c>
      <c r="AO42" s="18" t="n">
        <v>45.14</v>
      </c>
      <c r="AP42" s="18" t="n">
        <v>22.24</v>
      </c>
      <c r="AQ42" s="18" t="n">
        <v>0.73</v>
      </c>
      <c r="AR42" s="18" t="n">
        <v>14.47</v>
      </c>
      <c r="AS42" s="18" t="n">
        <v>7.25</v>
      </c>
      <c r="AT42" s="18" t="n">
        <v>1.81</v>
      </c>
      <c r="AU42" s="18" t="n">
        <v>0.76</v>
      </c>
      <c r="AV42" s="18" t="n">
        <v>0.24</v>
      </c>
      <c r="AW42" s="18" t="n">
        <v>6.85</v>
      </c>
      <c r="AX42" s="18" t="n">
        <v>0.122</v>
      </c>
      <c r="AY42" s="18" t="inlineStr">
        <is>
          <t>-</t>
        </is>
      </c>
      <c r="AZ42" s="18" t="n">
        <v>0.442</v>
      </c>
      <c r="BA42" s="18" t="n">
        <v>98.11</v>
      </c>
      <c r="BB42" s="18" t="n">
        <v>91.47</v>
      </c>
      <c r="BC42" s="18" t="n">
        <v>79.59</v>
      </c>
      <c r="BD42" s="18" t="n">
        <v>18.93</v>
      </c>
      <c r="BE42" s="14" t="inlineStr">
        <is>
          <t>COA-DEMO-0041</t>
        </is>
      </c>
      <c r="BF42" s="19" t="n">
        <v>44128</v>
      </c>
      <c r="BG42" s="20" t="inlineStr">
        <is>
          <t>Jetty Eksisting</t>
        </is>
      </c>
    </row>
    <row r="43">
      <c r="A43" s="10">
        <f>EOMONTH(G43,-1)+1</f>
        <v/>
      </c>
      <c r="B43" s="11" t="inlineStr">
        <is>
          <t>Lot 30</t>
        </is>
      </c>
      <c r="C43" s="11" t="inlineStr">
        <is>
          <t>PT DEMO SUPPLIER 4</t>
        </is>
      </c>
      <c r="D43" s="11" t="inlineStr">
        <is>
          <t>DUMP TRUCK</t>
        </is>
      </c>
      <c r="E43" s="11" t="inlineStr">
        <is>
          <t>DUMP TRUCK</t>
        </is>
      </c>
      <c r="F43" s="12" t="n">
        <v>44115.42638888889</v>
      </c>
      <c r="G43" s="12" t="n">
        <v>44121.76388888889</v>
      </c>
      <c r="H43" s="13" t="n">
        <v>5018.11</v>
      </c>
      <c r="I43" s="11" t="inlineStr">
        <is>
          <t>PT GEOSERVICES</t>
        </is>
      </c>
      <c r="J43" s="14" t="inlineStr">
        <is>
          <t>COA-DEMO-0042</t>
        </is>
      </c>
      <c r="K43" s="15" t="n">
        <v>44128</v>
      </c>
      <c r="L43" s="16" t="n">
        <v>4117</v>
      </c>
      <c r="M43" s="16" t="n"/>
      <c r="N43" s="16" t="n">
        <v>6478</v>
      </c>
      <c r="O43" s="16" t="n">
        <v>36.45</v>
      </c>
      <c r="P43" s="16" t="n">
        <v>14.56</v>
      </c>
      <c r="Q43" s="16" t="n">
        <v>6.23</v>
      </c>
      <c r="R43" s="16" t="n">
        <v>8.369999999999999</v>
      </c>
      <c r="S43" s="16" t="n">
        <v>9.800000000000001</v>
      </c>
      <c r="T43" s="16" t="n">
        <v>28.15</v>
      </c>
      <c r="U43" s="16" t="n">
        <v>37.85</v>
      </c>
      <c r="V43" s="16" t="n">
        <v>29.17</v>
      </c>
      <c r="W43" s="16" t="n">
        <v>39.22</v>
      </c>
      <c r="X43" s="16" t="n">
        <v>0.3</v>
      </c>
      <c r="Y43" s="16" t="n"/>
      <c r="Z43" s="16" t="n">
        <v>0.47</v>
      </c>
      <c r="AA43" s="16" t="n">
        <v>0.052</v>
      </c>
      <c r="AB43" s="16" t="n">
        <v>43.07</v>
      </c>
      <c r="AC43" s="16" t="n">
        <v>57.9</v>
      </c>
      <c r="AD43" s="16" t="n">
        <v>3.17</v>
      </c>
      <c r="AE43" s="16" t="n">
        <v>4.26</v>
      </c>
      <c r="AF43" s="16" t="n">
        <v>0.84</v>
      </c>
      <c r="AG43" s="16" t="n">
        <v>1.13</v>
      </c>
      <c r="AH43" s="16" t="n">
        <v>1.47</v>
      </c>
      <c r="AI43" s="16" t="n">
        <v>9.949999999999999</v>
      </c>
      <c r="AJ43" s="16" t="n">
        <v>13.38</v>
      </c>
      <c r="AK43" s="17" t="n">
        <v>51</v>
      </c>
      <c r="AL43" s="11" t="inlineStr">
        <is>
          <t>LOW</t>
        </is>
      </c>
      <c r="AM43" s="11" t="inlineStr">
        <is>
          <t>LOW</t>
        </is>
      </c>
      <c r="AN43" s="11" t="n">
        <v>1210</v>
      </c>
      <c r="AO43" s="18" t="n">
        <v>39.11</v>
      </c>
      <c r="AP43" s="18" t="n">
        <v>21.64</v>
      </c>
      <c r="AQ43" s="18" t="n">
        <v>0.84</v>
      </c>
      <c r="AR43" s="18" t="n">
        <v>14.52</v>
      </c>
      <c r="AS43" s="18" t="n">
        <v>11.04</v>
      </c>
      <c r="AT43" s="18" t="n">
        <v>2.74</v>
      </c>
      <c r="AU43" s="18" t="n">
        <v>0.86</v>
      </c>
      <c r="AV43" s="18" t="n">
        <v>0.33</v>
      </c>
      <c r="AW43" s="18" t="n">
        <v>8.859999999999999</v>
      </c>
      <c r="AX43" s="18" t="n">
        <v>0.192</v>
      </c>
      <c r="AY43" s="18" t="inlineStr">
        <is>
          <t>-</t>
        </is>
      </c>
      <c r="AZ43" s="18" t="n">
        <v>0.311</v>
      </c>
      <c r="BA43" s="18" t="n">
        <v>97.68000000000001</v>
      </c>
      <c r="BB43" s="18" t="n">
        <v>90.62</v>
      </c>
      <c r="BC43" s="18" t="n">
        <v>72.56999999999999</v>
      </c>
      <c r="BD43" s="18" t="n">
        <v>16.75</v>
      </c>
      <c r="BE43" s="14" t="inlineStr">
        <is>
          <t>COA-DEMO-0042</t>
        </is>
      </c>
      <c r="BF43" s="19" t="n">
        <v>44128</v>
      </c>
      <c r="BG43" s="20" t="inlineStr">
        <is>
          <t>Moda Trucking</t>
        </is>
      </c>
    </row>
    <row r="44">
      <c r="A44" s="10">
        <f>EOMONTH(G44,-1)+1</f>
        <v/>
      </c>
      <c r="B44" s="11" t="inlineStr">
        <is>
          <t>Lot 31</t>
        </is>
      </c>
      <c r="C44" s="11" t="inlineStr">
        <is>
          <t>PT DEMO SUPPLIER 7</t>
        </is>
      </c>
      <c r="D44" s="11" t="inlineStr">
        <is>
          <t>DUMP TRUCK</t>
        </is>
      </c>
      <c r="E44" s="11" t="inlineStr">
        <is>
          <t>DUMP TRUCK</t>
        </is>
      </c>
      <c r="F44" s="12" t="n">
        <v>44119.62986111111</v>
      </c>
      <c r="G44" s="12" t="n">
        <v>44122.71875</v>
      </c>
      <c r="H44" s="13" t="n">
        <v>5502.34</v>
      </c>
      <c r="I44" s="11" t="inlineStr">
        <is>
          <t>PT GEOSERVICES</t>
        </is>
      </c>
      <c r="J44" s="11" t="inlineStr">
        <is>
          <t>COA-DEMO-0043</t>
        </is>
      </c>
      <c r="K44" s="15" t="n">
        <v>44130</v>
      </c>
      <c r="L44" s="16" t="n">
        <v>4081</v>
      </c>
      <c r="M44" s="16" t="n"/>
      <c r="N44" s="16" t="n">
        <v>6550</v>
      </c>
      <c r="O44" s="16" t="n">
        <v>37.69</v>
      </c>
      <c r="P44" s="16" t="n">
        <v>17.4</v>
      </c>
      <c r="Q44" s="16" t="n">
        <v>4.15</v>
      </c>
      <c r="R44" s="16" t="n">
        <v>5.5</v>
      </c>
      <c r="S44" s="16" t="n">
        <v>6.66</v>
      </c>
      <c r="T44" s="16" t="n">
        <v>29.06</v>
      </c>
      <c r="U44" s="16" t="n">
        <v>38.52</v>
      </c>
      <c r="V44" s="16" t="n">
        <v>29.1</v>
      </c>
      <c r="W44" s="16" t="n">
        <v>38.58</v>
      </c>
      <c r="X44" s="16" t="n">
        <v>0.23</v>
      </c>
      <c r="Y44" s="16" t="n"/>
      <c r="Z44" s="16" t="n">
        <v>0.38</v>
      </c>
      <c r="AA44" s="16" t="n">
        <v>0.4</v>
      </c>
      <c r="AB44" s="16" t="n">
        <v>42.95</v>
      </c>
      <c r="AC44" s="16" t="n">
        <v>56.94</v>
      </c>
      <c r="AD44" s="16" t="n">
        <v>3.06</v>
      </c>
      <c r="AE44" s="16" t="n">
        <v>4.05</v>
      </c>
      <c r="AF44" s="16" t="n">
        <v>0.6899999999999999</v>
      </c>
      <c r="AG44" s="16" t="n">
        <v>0.92</v>
      </c>
      <c r="AH44" s="16" t="n">
        <v>1.19</v>
      </c>
      <c r="AI44" s="16" t="n">
        <v>11.22</v>
      </c>
      <c r="AJ44" s="16" t="n">
        <v>14.88</v>
      </c>
      <c r="AK44" s="17" t="n">
        <v>50</v>
      </c>
      <c r="AL44" s="11" t="inlineStr">
        <is>
          <t>LOW</t>
        </is>
      </c>
      <c r="AM44" s="11" t="inlineStr">
        <is>
          <t>LOW</t>
        </is>
      </c>
      <c r="AN44" s="11" t="n">
        <v>1210</v>
      </c>
      <c r="AO44" s="18" t="n">
        <v>32.25</v>
      </c>
      <c r="AP44" s="18" t="n">
        <v>21.58</v>
      </c>
      <c r="AQ44" s="18" t="n">
        <v>0.71</v>
      </c>
      <c r="AR44" s="18" t="n">
        <v>16.24</v>
      </c>
      <c r="AS44" s="18" t="n">
        <v>15.38</v>
      </c>
      <c r="AT44" s="18" t="n">
        <v>2.32</v>
      </c>
      <c r="AU44" s="18" t="n">
        <v>0.67</v>
      </c>
      <c r="AV44" s="18" t="n">
        <v>0.22</v>
      </c>
      <c r="AW44" s="18" t="n">
        <v>9.92</v>
      </c>
      <c r="AX44" s="18" t="n">
        <v>0.44</v>
      </c>
      <c r="AY44" s="18" t="inlineStr">
        <is>
          <t>-</t>
        </is>
      </c>
      <c r="AZ44" s="18" t="n">
        <v>0.54</v>
      </c>
      <c r="BA44" s="18" t="n">
        <v>98.38</v>
      </c>
      <c r="BB44" s="18" t="n">
        <v>92.59</v>
      </c>
      <c r="BC44" s="18" t="n">
        <v>80.84999999999999</v>
      </c>
      <c r="BD44" s="18" t="n">
        <v>22.85</v>
      </c>
      <c r="BE44" s="11" t="inlineStr">
        <is>
          <t>COA-DEMO-0043</t>
        </is>
      </c>
      <c r="BF44" s="19" t="n">
        <v>44130</v>
      </c>
      <c r="BG44" s="20" t="inlineStr">
        <is>
          <t>Moda Trucking</t>
        </is>
      </c>
    </row>
    <row r="45">
      <c r="A45" s="10">
        <f>EOMONTH(G45,-1)+1</f>
        <v/>
      </c>
      <c r="B45" s="11" t="n">
        <v>590</v>
      </c>
      <c r="C45" s="11" t="inlineStr">
        <is>
          <t>PT DEMO SUPPLIER 3</t>
        </is>
      </c>
      <c r="D45" s="11" t="inlineStr">
        <is>
          <t>MERPATI 2701</t>
        </is>
      </c>
      <c r="E45" s="11" t="inlineStr">
        <is>
          <t>RAJAWALI 2701</t>
        </is>
      </c>
      <c r="F45" s="12" t="n">
        <v>44121.59722222222</v>
      </c>
      <c r="G45" s="12" t="n">
        <v>44122.81944444445</v>
      </c>
      <c r="H45" s="13" t="n">
        <v>5054.25</v>
      </c>
      <c r="I45" s="11" t="inlineStr">
        <is>
          <t>PT GEOSERVICES</t>
        </is>
      </c>
      <c r="J45" s="14" t="inlineStr">
        <is>
          <t>COA-DEMO-0044</t>
        </is>
      </c>
      <c r="K45" s="15" t="n">
        <v>44122</v>
      </c>
      <c r="L45" s="16" t="n">
        <v>4009</v>
      </c>
      <c r="M45" s="16" t="n"/>
      <c r="N45" s="16" t="n">
        <v>6227</v>
      </c>
      <c r="O45" s="16" t="n">
        <v>35.62</v>
      </c>
      <c r="P45" s="16" t="n">
        <v>12.97</v>
      </c>
      <c r="Q45" s="16" t="n">
        <v>7.78</v>
      </c>
      <c r="R45" s="16" t="n">
        <v>10.52</v>
      </c>
      <c r="S45" s="16" t="n">
        <v>12.09</v>
      </c>
      <c r="T45" s="16" t="n">
        <v>28.97</v>
      </c>
      <c r="U45" s="16" t="n">
        <v>39.16</v>
      </c>
      <c r="V45" s="16" t="n">
        <v>27.63</v>
      </c>
      <c r="W45" s="16" t="n">
        <v>37.35</v>
      </c>
      <c r="X45" s="16" t="n">
        <v>0.3</v>
      </c>
      <c r="Y45" s="16" t="n"/>
      <c r="Z45" s="16" t="n">
        <v>0.46</v>
      </c>
      <c r="AA45" s="16" t="n">
        <v>0.52</v>
      </c>
      <c r="AB45" s="16" t="n">
        <v>41.83</v>
      </c>
      <c r="AC45" s="16" t="n">
        <v>56.55</v>
      </c>
      <c r="AD45" s="16" t="n">
        <v>3.14</v>
      </c>
      <c r="AE45" s="16" t="n">
        <v>4.25</v>
      </c>
      <c r="AF45" s="16" t="n">
        <v>0.85</v>
      </c>
      <c r="AG45" s="16" t="n">
        <v>1.15</v>
      </c>
      <c r="AH45" s="16" t="n">
        <v>1.5</v>
      </c>
      <c r="AI45" s="16" t="n">
        <v>10.47</v>
      </c>
      <c r="AJ45" s="16" t="n">
        <v>14.16</v>
      </c>
      <c r="AK45" s="17" t="n">
        <v>58</v>
      </c>
      <c r="AL45" s="11" t="inlineStr">
        <is>
          <t>LOW</t>
        </is>
      </c>
      <c r="AM45" s="11" t="inlineStr">
        <is>
          <t>LOW</t>
        </is>
      </c>
      <c r="AN45" s="11" t="n">
        <v>1250</v>
      </c>
      <c r="AO45" s="18" t="n">
        <v>42.38</v>
      </c>
      <c r="AP45" s="18" t="n">
        <v>21.68</v>
      </c>
      <c r="AQ45" s="18" t="n">
        <v>0.71</v>
      </c>
      <c r="AR45" s="18" t="n">
        <v>14.63</v>
      </c>
      <c r="AS45" s="18" t="n">
        <v>8.869999999999999</v>
      </c>
      <c r="AT45" s="18" t="n">
        <v>2.01</v>
      </c>
      <c r="AU45" s="18" t="n">
        <v>1.42</v>
      </c>
      <c r="AV45" s="18" t="n">
        <v>0.36</v>
      </c>
      <c r="AW45" s="18" t="n">
        <v>7.51</v>
      </c>
      <c r="AX45" s="18" t="n">
        <v>0.18</v>
      </c>
      <c r="AY45" s="18" t="inlineStr">
        <is>
          <t>-</t>
        </is>
      </c>
      <c r="AZ45" s="18" t="n">
        <v>0.46</v>
      </c>
      <c r="BA45" s="18" t="n">
        <v>96.11</v>
      </c>
      <c r="BB45" s="18" t="n">
        <v>87.42</v>
      </c>
      <c r="BC45" s="18" t="n">
        <v>72.42</v>
      </c>
      <c r="BD45" s="18" t="n">
        <v>9.23</v>
      </c>
      <c r="BE45" s="14" t="inlineStr">
        <is>
          <t>COA-DEMO-0044</t>
        </is>
      </c>
      <c r="BF45" s="19" t="n">
        <v>44130</v>
      </c>
      <c r="BG45" s="20" t="inlineStr">
        <is>
          <t>Jetty Eksisting</t>
        </is>
      </c>
    </row>
    <row r="46">
      <c r="A46" s="10">
        <f>EOMONTH(G46,-1)+1</f>
        <v/>
      </c>
      <c r="B46" s="11" t="n">
        <v>591</v>
      </c>
      <c r="C46" s="11" t="inlineStr">
        <is>
          <t>PT DEMO SUPPLIER 7</t>
        </is>
      </c>
      <c r="D46" s="11" t="inlineStr">
        <is>
          <t>MEGA DAYA 27</t>
        </is>
      </c>
      <c r="E46" s="11" t="inlineStr">
        <is>
          <t>MARCOPOLO 2528</t>
        </is>
      </c>
      <c r="F46" s="12" t="n">
        <v>44122.89583333334</v>
      </c>
      <c r="G46" s="12" t="n">
        <v>44124.72222222222</v>
      </c>
      <c r="H46" s="13" t="n">
        <v>5548.12</v>
      </c>
      <c r="I46" s="11" t="inlineStr">
        <is>
          <t>PT GEOSERVICES</t>
        </is>
      </c>
      <c r="J46" s="11" t="inlineStr">
        <is>
          <t>COA-DEMO-0045</t>
        </is>
      </c>
      <c r="K46" s="15" t="n">
        <v>44124</v>
      </c>
      <c r="L46" s="16" t="n">
        <v>4041</v>
      </c>
      <c r="M46" s="16" t="n"/>
      <c r="N46" s="16" t="n">
        <v>6456</v>
      </c>
      <c r="O46" s="16" t="n">
        <v>37.41</v>
      </c>
      <c r="P46" s="16" t="n">
        <v>16.05</v>
      </c>
      <c r="Q46" s="16" t="n">
        <v>5.47</v>
      </c>
      <c r="R46" s="16" t="n">
        <v>7.34</v>
      </c>
      <c r="S46" s="16" t="n">
        <v>8.74</v>
      </c>
      <c r="T46" s="16" t="n">
        <v>28.44</v>
      </c>
      <c r="U46" s="16" t="n">
        <v>38.14</v>
      </c>
      <c r="V46" s="16" t="n">
        <v>28.68</v>
      </c>
      <c r="W46" s="16" t="n">
        <v>38.47</v>
      </c>
      <c r="X46" s="16" t="n">
        <v>0.23</v>
      </c>
      <c r="Y46" s="16" t="n"/>
      <c r="Z46" s="16" t="n">
        <v>0.37</v>
      </c>
      <c r="AA46" s="16" t="n">
        <v>0.4</v>
      </c>
      <c r="AB46" s="16" t="n">
        <v>42.29</v>
      </c>
      <c r="AC46" s="16" t="n">
        <v>56.72</v>
      </c>
      <c r="AD46" s="16" t="n">
        <v>3.07</v>
      </c>
      <c r="AE46" s="16" t="n">
        <v>4.12</v>
      </c>
      <c r="AF46" s="16" t="n">
        <v>0.6899999999999999</v>
      </c>
      <c r="AG46" s="16" t="n">
        <v>0.92</v>
      </c>
      <c r="AH46" s="16" t="n">
        <v>1.2</v>
      </c>
      <c r="AI46" s="16" t="n">
        <v>10.84</v>
      </c>
      <c r="AJ46" s="16" t="n">
        <v>14.54</v>
      </c>
      <c r="AK46" s="17" t="n">
        <v>50</v>
      </c>
      <c r="AL46" s="11" t="inlineStr">
        <is>
          <t>LOW</t>
        </is>
      </c>
      <c r="AM46" s="11" t="inlineStr">
        <is>
          <t>LOW</t>
        </is>
      </c>
      <c r="AN46" s="11" t="n">
        <v>1210</v>
      </c>
      <c r="AO46" s="18" t="n">
        <v>44.35</v>
      </c>
      <c r="AP46" s="18" t="n">
        <v>25.14</v>
      </c>
      <c r="AQ46" s="18" t="n">
        <v>1.04</v>
      </c>
      <c r="AR46" s="18" t="n">
        <v>10.38</v>
      </c>
      <c r="AS46" s="18" t="n">
        <v>7.61</v>
      </c>
      <c r="AT46" s="18" t="n">
        <v>1.79</v>
      </c>
      <c r="AU46" s="18" t="n">
        <v>0.91</v>
      </c>
      <c r="AV46" s="18" t="n">
        <v>0.22</v>
      </c>
      <c r="AW46" s="18" t="n">
        <v>8.09</v>
      </c>
      <c r="AX46" s="18" t="n">
        <v>0.12</v>
      </c>
      <c r="AY46" s="18" t="inlineStr">
        <is>
          <t>-</t>
        </is>
      </c>
      <c r="AZ46" s="18" t="n">
        <v>0.31</v>
      </c>
      <c r="BA46" s="18" t="n">
        <v>96.76000000000001</v>
      </c>
      <c r="BB46" s="18" t="n">
        <v>90.34999999999999</v>
      </c>
      <c r="BC46" s="18" t="n">
        <v>77.17</v>
      </c>
      <c r="BD46" s="18" t="n">
        <v>18.76</v>
      </c>
      <c r="BE46" s="11" t="inlineStr">
        <is>
          <t>COA-DEMO-0045</t>
        </is>
      </c>
      <c r="BF46" s="19" t="n">
        <v>44131</v>
      </c>
      <c r="BG46" s="20" t="inlineStr">
        <is>
          <t>Jetty Eksisting</t>
        </is>
      </c>
    </row>
    <row r="47">
      <c r="A47" s="10">
        <f>EOMONTH(G47,-1)+1</f>
        <v/>
      </c>
      <c r="B47" s="11" t="n">
        <v>592</v>
      </c>
      <c r="C47" s="11" t="inlineStr">
        <is>
          <t>PT DEMO SUPPLIER 5</t>
        </is>
      </c>
      <c r="D47" s="11" t="inlineStr">
        <is>
          <t>LL PRIMA</t>
        </is>
      </c>
      <c r="E47" s="11" t="inlineStr">
        <is>
          <t>LL 2711</t>
        </is>
      </c>
      <c r="F47" s="12" t="n">
        <v>44124.80208333334</v>
      </c>
      <c r="G47" s="12" t="n">
        <v>44126.09027777778</v>
      </c>
      <c r="H47" s="13" t="n">
        <v>5443.803</v>
      </c>
      <c r="I47" s="11" t="inlineStr">
        <is>
          <t>PT GEOSERVICES</t>
        </is>
      </c>
      <c r="J47" s="11" t="inlineStr">
        <is>
          <t>COA-DEMO-0046</t>
        </is>
      </c>
      <c r="K47" s="15" t="n">
        <v>44126</v>
      </c>
      <c r="L47" s="16" t="n">
        <v>4013</v>
      </c>
      <c r="M47" s="16" t="n"/>
      <c r="N47" s="16" t="n">
        <v>6448</v>
      </c>
      <c r="O47" s="16" t="n">
        <v>37.77</v>
      </c>
      <c r="P47" s="16" t="n">
        <v>16.46</v>
      </c>
      <c r="Q47" s="16" t="n">
        <v>4.59</v>
      </c>
      <c r="R47" s="16" t="n">
        <v>6.16</v>
      </c>
      <c r="S47" s="16" t="n">
        <v>7.37</v>
      </c>
      <c r="T47" s="16" t="n">
        <v>29.83</v>
      </c>
      <c r="U47" s="16" t="n">
        <v>40.04</v>
      </c>
      <c r="V47" s="16" t="n">
        <v>27.82</v>
      </c>
      <c r="W47" s="16" t="n">
        <v>37.34</v>
      </c>
      <c r="X47" s="16" t="n">
        <v>0.22</v>
      </c>
      <c r="Y47" s="16" t="n"/>
      <c r="Z47" s="16" t="n">
        <v>0.35</v>
      </c>
      <c r="AA47" s="16" t="n">
        <v>0.37</v>
      </c>
      <c r="AB47" s="16" t="n">
        <v>42.29</v>
      </c>
      <c r="AC47" s="16" t="n">
        <v>56.77</v>
      </c>
      <c r="AD47" s="16" t="n">
        <v>3.05</v>
      </c>
      <c r="AE47" s="16" t="n">
        <v>4.09</v>
      </c>
      <c r="AF47" s="16" t="n">
        <v>0.79</v>
      </c>
      <c r="AG47" s="16" t="n">
        <v>1.06</v>
      </c>
      <c r="AH47" s="16" t="n">
        <v>1.37</v>
      </c>
      <c r="AI47" s="16" t="n">
        <v>11.3</v>
      </c>
      <c r="AJ47" s="16" t="n">
        <v>15.17</v>
      </c>
      <c r="AK47" s="17" t="n">
        <v>52</v>
      </c>
      <c r="AL47" s="11" t="inlineStr">
        <is>
          <t>LOW</t>
        </is>
      </c>
      <c r="AM47" s="11" t="inlineStr">
        <is>
          <t>MEDIUM</t>
        </is>
      </c>
      <c r="AN47" s="11" t="n">
        <v>1210</v>
      </c>
      <c r="AO47" s="18" t="n">
        <v>34.97</v>
      </c>
      <c r="AP47" s="18" t="n">
        <v>21.18</v>
      </c>
      <c r="AQ47" s="18" t="n">
        <v>1.13</v>
      </c>
      <c r="AR47" s="18" t="n">
        <v>12.43</v>
      </c>
      <c r="AS47" s="18" t="n">
        <v>15.98</v>
      </c>
      <c r="AT47" s="18" t="n">
        <v>2.74</v>
      </c>
      <c r="AU47" s="18" t="n">
        <v>0.89</v>
      </c>
      <c r="AV47" s="18" t="n">
        <v>0.5</v>
      </c>
      <c r="AW47" s="18" t="n">
        <v>9.16</v>
      </c>
      <c r="AX47" s="18" t="n">
        <v>0.46</v>
      </c>
      <c r="AY47" s="18" t="inlineStr">
        <is>
          <t>-</t>
        </is>
      </c>
      <c r="AZ47" s="18" t="n">
        <v>0.45</v>
      </c>
      <c r="BA47" s="18" t="n">
        <v>97.56</v>
      </c>
      <c r="BB47" s="18" t="n">
        <v>89.54000000000001</v>
      </c>
      <c r="BC47" s="18" t="n">
        <v>73.5</v>
      </c>
      <c r="BD47" s="18" t="n">
        <v>12.35</v>
      </c>
      <c r="BE47" s="11" t="inlineStr">
        <is>
          <t>COA-DEMO-0046</t>
        </is>
      </c>
      <c r="BF47" s="19" t="n">
        <v>44134</v>
      </c>
      <c r="BG47" s="20" t="inlineStr">
        <is>
          <t>Jetty Eksisting</t>
        </is>
      </c>
    </row>
    <row r="48">
      <c r="A48" s="10">
        <f>EOMONTH(G48,-1)+1</f>
        <v/>
      </c>
      <c r="B48" s="11" t="inlineStr">
        <is>
          <t>Lot 32</t>
        </is>
      </c>
      <c r="C48" s="11" t="inlineStr">
        <is>
          <t>PT DEMO SUPPLIER 4</t>
        </is>
      </c>
      <c r="D48" s="11" t="inlineStr">
        <is>
          <t>DUMP TRUCK</t>
        </is>
      </c>
      <c r="E48" s="11" t="inlineStr">
        <is>
          <t>DUMP TRUCK</t>
        </is>
      </c>
      <c r="F48" s="12" t="n">
        <v>44121.73263888889</v>
      </c>
      <c r="G48" s="12" t="n">
        <v>44126.50902777778</v>
      </c>
      <c r="H48" s="13" t="n">
        <v>5012.47</v>
      </c>
      <c r="I48" s="11" t="inlineStr">
        <is>
          <t>PT GEOSERVICES</t>
        </is>
      </c>
      <c r="J48" s="14" t="inlineStr">
        <is>
          <t>COA-DEMO-0047</t>
        </is>
      </c>
      <c r="K48" s="15" t="n">
        <v>44134</v>
      </c>
      <c r="L48" s="16" t="n">
        <v>4171</v>
      </c>
      <c r="M48" s="16" t="n"/>
      <c r="N48" s="16" t="n">
        <v>6680</v>
      </c>
      <c r="O48" s="16" t="n">
        <v>37.56</v>
      </c>
      <c r="P48" s="16" t="n">
        <v>13.14</v>
      </c>
      <c r="Q48" s="16" t="n">
        <v>4.87</v>
      </c>
      <c r="R48" s="16" t="n">
        <v>6.77</v>
      </c>
      <c r="S48" s="16" t="n">
        <v>7.79</v>
      </c>
      <c r="T48" s="16" t="n">
        <v>28.19</v>
      </c>
      <c r="U48" s="16" t="n">
        <v>39.22</v>
      </c>
      <c r="V48" s="16" t="n">
        <v>29.38</v>
      </c>
      <c r="W48" s="16" t="n">
        <v>40.87</v>
      </c>
      <c r="X48" s="16" t="n">
        <v>0.29</v>
      </c>
      <c r="Y48" s="16" t="n"/>
      <c r="Z48" s="16" t="n">
        <v>0.47</v>
      </c>
      <c r="AA48" s="16" t="n">
        <v>0.51</v>
      </c>
      <c r="AB48" s="16" t="n">
        <v>43.56</v>
      </c>
      <c r="AC48" s="16" t="n">
        <v>60.6</v>
      </c>
      <c r="AD48" s="16" t="n">
        <v>3.16</v>
      </c>
      <c r="AE48" s="16" t="n">
        <v>4.4</v>
      </c>
      <c r="AF48" s="16" t="n">
        <v>0.8100000000000001</v>
      </c>
      <c r="AG48" s="16" t="n">
        <v>1.12</v>
      </c>
      <c r="AH48" s="16" t="n">
        <v>1.4</v>
      </c>
      <c r="AI48" s="16" t="n">
        <v>9.75</v>
      </c>
      <c r="AJ48" s="16" t="n">
        <v>13.56</v>
      </c>
      <c r="AK48" s="17" t="n">
        <v>51</v>
      </c>
      <c r="AL48" s="11" t="inlineStr">
        <is>
          <t>LOW</t>
        </is>
      </c>
      <c r="AM48" s="11" t="inlineStr">
        <is>
          <t>LOW</t>
        </is>
      </c>
      <c r="AN48" s="11" t="n">
        <v>1250</v>
      </c>
      <c r="AO48" s="18" t="n">
        <v>37.81</v>
      </c>
      <c r="AP48" s="18" t="n">
        <v>22.95</v>
      </c>
      <c r="AQ48" s="18" t="n">
        <v>0.84</v>
      </c>
      <c r="AR48" s="18" t="n">
        <v>14.5</v>
      </c>
      <c r="AS48" s="18" t="n">
        <v>11.03</v>
      </c>
      <c r="AT48" s="18" t="n">
        <v>2.74</v>
      </c>
      <c r="AU48" s="18" t="n">
        <v>0.84</v>
      </c>
      <c r="AV48" s="18" t="n">
        <v>0.36</v>
      </c>
      <c r="AW48" s="18" t="n">
        <v>8.56</v>
      </c>
      <c r="AX48" s="18" t="n">
        <v>0.184</v>
      </c>
      <c r="AY48" s="18" t="inlineStr">
        <is>
          <t>-</t>
        </is>
      </c>
      <c r="AZ48" s="18" t="n">
        <v>0.307</v>
      </c>
      <c r="BA48" s="18" t="n">
        <v>98.95999999999999</v>
      </c>
      <c r="BB48" s="18" t="n">
        <v>91.42</v>
      </c>
      <c r="BC48" s="18" t="n">
        <v>75.25</v>
      </c>
      <c r="BD48" s="18" t="n">
        <v>20.85</v>
      </c>
      <c r="BE48" s="14" t="inlineStr">
        <is>
          <t>COA-DEMO-0047</t>
        </is>
      </c>
      <c r="BF48" s="19" t="n">
        <v>44134</v>
      </c>
      <c r="BG48" s="20" t="inlineStr">
        <is>
          <t>Moda Trucking</t>
        </is>
      </c>
    </row>
    <row r="49">
      <c r="A49" s="10">
        <f>EOMONTH(G49,-1)+1</f>
        <v/>
      </c>
      <c r="B49" s="11" t="n">
        <v>593</v>
      </c>
      <c r="C49" s="11" t="inlineStr">
        <is>
          <t>PT DEMO SUPPLIER 6</t>
        </is>
      </c>
      <c r="D49" s="11" t="inlineStr">
        <is>
          <t>MEGA DAYA 33</t>
        </is>
      </c>
      <c r="E49" s="11" t="inlineStr">
        <is>
          <t>MARCOPOLO 278</t>
        </is>
      </c>
      <c r="F49" s="12" t="n">
        <v>44126.21527777778</v>
      </c>
      <c r="G49" s="12" t="n">
        <v>44127.62847222222</v>
      </c>
      <c r="H49" s="13" t="n">
        <v>5294.507</v>
      </c>
      <c r="I49" s="11" t="inlineStr">
        <is>
          <t>PT GEOSERVICES</t>
        </is>
      </c>
      <c r="J49" s="14" t="inlineStr">
        <is>
          <t>COA-DEMO-0048</t>
        </is>
      </c>
      <c r="K49" s="15" t="n">
        <v>44127</v>
      </c>
      <c r="L49" s="16" t="n">
        <v>4219</v>
      </c>
      <c r="M49" s="16" t="n"/>
      <c r="N49" s="16" t="n">
        <v>6551</v>
      </c>
      <c r="O49" s="16" t="n">
        <v>35.6</v>
      </c>
      <c r="P49" s="16" t="n">
        <v>14.58</v>
      </c>
      <c r="Q49" s="16" t="n">
        <v>3.31</v>
      </c>
      <c r="R49" s="16" t="n">
        <v>4.39</v>
      </c>
      <c r="S49" s="16" t="n">
        <v>5.14</v>
      </c>
      <c r="T49" s="16" t="n">
        <v>30.92</v>
      </c>
      <c r="U49" s="16" t="n">
        <v>41.01</v>
      </c>
      <c r="V49" s="16" t="n">
        <v>30.17</v>
      </c>
      <c r="W49" s="16" t="n">
        <v>40.02</v>
      </c>
      <c r="X49" s="16" t="n">
        <v>0.3</v>
      </c>
      <c r="Y49" s="16" t="n"/>
      <c r="Z49" s="16" t="n">
        <v>0.47</v>
      </c>
      <c r="AA49" s="16" t="n">
        <v>0.49</v>
      </c>
      <c r="AB49" s="16" t="n">
        <v>44.53</v>
      </c>
      <c r="AC49" s="16" t="n">
        <v>59.07</v>
      </c>
      <c r="AD49" s="16" t="n">
        <v>3.17</v>
      </c>
      <c r="AE49" s="16" t="n">
        <v>4.2</v>
      </c>
      <c r="AF49" s="16" t="n">
        <v>0.85</v>
      </c>
      <c r="AG49" s="16" t="n">
        <v>1.13</v>
      </c>
      <c r="AH49" s="16" t="n">
        <v>1.39</v>
      </c>
      <c r="AI49" s="16" t="n">
        <v>12.24</v>
      </c>
      <c r="AJ49" s="16" t="n">
        <v>16.23</v>
      </c>
      <c r="AK49" s="17" t="n">
        <v>58</v>
      </c>
      <c r="AL49" s="11" t="inlineStr">
        <is>
          <t>LOW</t>
        </is>
      </c>
      <c r="AM49" s="11" t="inlineStr">
        <is>
          <t>LOW</t>
        </is>
      </c>
      <c r="AN49" s="11" t="n">
        <v>1230</v>
      </c>
      <c r="AO49" s="18" t="n">
        <v>36.75</v>
      </c>
      <c r="AP49" s="18" t="n">
        <v>13.91</v>
      </c>
      <c r="AQ49" s="18" t="n">
        <v>0.74</v>
      </c>
      <c r="AR49" s="18" t="n">
        <v>13.27</v>
      </c>
      <c r="AS49" s="18" t="n">
        <v>11.51</v>
      </c>
      <c r="AT49" s="18" t="n">
        <v>6.52</v>
      </c>
      <c r="AU49" s="18" t="n">
        <v>0.54</v>
      </c>
      <c r="AV49" s="18" t="n">
        <v>0.24</v>
      </c>
      <c r="AW49" s="18" t="n">
        <v>13.76</v>
      </c>
      <c r="AX49" s="18" t="n">
        <v>1.11</v>
      </c>
      <c r="AY49" s="18" t="inlineStr">
        <is>
          <t>-</t>
        </is>
      </c>
      <c r="AZ49" s="18" t="n">
        <v>0.87</v>
      </c>
      <c r="BA49" s="18" t="n">
        <v>95.33</v>
      </c>
      <c r="BB49" s="18" t="n">
        <v>83.77</v>
      </c>
      <c r="BC49" s="18" t="n">
        <v>69.58</v>
      </c>
      <c r="BD49" s="18" t="n">
        <v>13.12</v>
      </c>
      <c r="BE49" s="14" t="inlineStr">
        <is>
          <t>COA-DEMO-0048</t>
        </is>
      </c>
      <c r="BF49" s="19" t="n">
        <v>44135</v>
      </c>
      <c r="BG49" s="20" t="inlineStr">
        <is>
          <t>Jetty Eksisting</t>
        </is>
      </c>
    </row>
    <row r="50">
      <c r="A50" s="10">
        <f>EOMONTH(G50,-1)+1</f>
        <v/>
      </c>
      <c r="B50" s="11" t="n">
        <v>594</v>
      </c>
      <c r="C50" s="11" t="inlineStr">
        <is>
          <t>PT DEMO SUPPLIER 3</t>
        </is>
      </c>
      <c r="D50" s="11" t="inlineStr">
        <is>
          <t>LL DJU MING</t>
        </is>
      </c>
      <c r="E50" s="11" t="inlineStr">
        <is>
          <t>LL 2713</t>
        </is>
      </c>
      <c r="F50" s="12" t="n">
        <v>44127.76041666666</v>
      </c>
      <c r="G50" s="12" t="n">
        <v>44128.84722222222</v>
      </c>
      <c r="H50" s="13" t="n">
        <v>5419.222</v>
      </c>
      <c r="I50" s="11" t="inlineStr">
        <is>
          <t>PT GEOSERVICES</t>
        </is>
      </c>
      <c r="J50" s="11" t="inlineStr">
        <is>
          <t>COA-DEMO-0049</t>
        </is>
      </c>
      <c r="K50" s="15" t="n">
        <v>44128</v>
      </c>
      <c r="L50" s="16" t="n">
        <v>4075</v>
      </c>
      <c r="M50" s="16" t="n"/>
      <c r="N50" s="16" t="n">
        <v>6554</v>
      </c>
      <c r="O50" s="16" t="n">
        <v>37.82</v>
      </c>
      <c r="P50" s="16" t="n">
        <v>14.24</v>
      </c>
      <c r="Q50" s="16" t="n">
        <v>4.04</v>
      </c>
      <c r="R50" s="16" t="n">
        <v>5.57</v>
      </c>
      <c r="S50" s="16" t="n">
        <v>6.49</v>
      </c>
      <c r="T50" s="16" t="n">
        <v>30.52</v>
      </c>
      <c r="U50" s="16" t="n">
        <v>42.09</v>
      </c>
      <c r="V50" s="16" t="n">
        <v>27.62</v>
      </c>
      <c r="W50" s="16" t="n">
        <v>38.1</v>
      </c>
      <c r="X50" s="16" t="n">
        <v>0.21</v>
      </c>
      <c r="Y50" s="16" t="n"/>
      <c r="Z50" s="16" t="n">
        <v>0.34</v>
      </c>
      <c r="AA50" s="16" t="n">
        <v>0.36</v>
      </c>
      <c r="AB50" s="16" t="n">
        <v>42.89</v>
      </c>
      <c r="AC50" s="16" t="n">
        <v>59.15</v>
      </c>
      <c r="AD50" s="16" t="n">
        <v>3.18</v>
      </c>
      <c r="AE50" s="16" t="n">
        <v>4.38</v>
      </c>
      <c r="AF50" s="16" t="n">
        <v>0.7</v>
      </c>
      <c r="AG50" s="16" t="n">
        <v>0.96</v>
      </c>
      <c r="AH50" s="16" t="n">
        <v>1.2</v>
      </c>
      <c r="AI50" s="16" t="n">
        <v>11.17</v>
      </c>
      <c r="AJ50" s="16" t="n">
        <v>15.41</v>
      </c>
      <c r="AK50" s="17" t="n">
        <v>54</v>
      </c>
      <c r="AL50" s="11" t="inlineStr">
        <is>
          <t>LOW</t>
        </is>
      </c>
      <c r="AM50" s="11" t="inlineStr">
        <is>
          <t>MEDIUM</t>
        </is>
      </c>
      <c r="AN50" s="11" t="n">
        <v>1190</v>
      </c>
      <c r="AO50" s="18" t="n">
        <v>36.14</v>
      </c>
      <c r="AP50" s="18" t="n">
        <v>22.73</v>
      </c>
      <c r="AQ50" s="18" t="n">
        <v>0.92</v>
      </c>
      <c r="AR50" s="18" t="n">
        <v>10.68</v>
      </c>
      <c r="AS50" s="18" t="n">
        <v>13.57</v>
      </c>
      <c r="AT50" s="18" t="n">
        <v>3.44</v>
      </c>
      <c r="AU50" s="18" t="n">
        <v>0.45</v>
      </c>
      <c r="AV50" s="18" t="n">
        <v>1.01</v>
      </c>
      <c r="AW50" s="18" t="n">
        <v>9.82</v>
      </c>
      <c r="AX50" s="18" t="n">
        <v>0.36</v>
      </c>
      <c r="AY50" s="18" t="inlineStr">
        <is>
          <t>-</t>
        </is>
      </c>
      <c r="AZ50" s="18" t="n">
        <v>0.62</v>
      </c>
      <c r="BA50" s="18" t="n">
        <v>95.51000000000001</v>
      </c>
      <c r="BB50" s="18" t="n">
        <v>84.5</v>
      </c>
      <c r="BC50" s="18" t="n">
        <v>69.38</v>
      </c>
      <c r="BD50" s="18" t="n">
        <v>16.38</v>
      </c>
      <c r="BE50" s="11" t="inlineStr">
        <is>
          <t>COA-DEMO-0049</t>
        </is>
      </c>
      <c r="BF50" s="19" t="n">
        <v>44135</v>
      </c>
      <c r="BG50" s="20" t="inlineStr">
        <is>
          <t>Jetty Eksisting</t>
        </is>
      </c>
    </row>
    <row r="51">
      <c r="A51" s="10">
        <f>EOMONTH(G51,-1)+1</f>
        <v/>
      </c>
      <c r="B51" s="11" t="n">
        <v>595</v>
      </c>
      <c r="C51" s="11" t="inlineStr">
        <is>
          <t>PT DEMO SUPPLIER 7</t>
        </is>
      </c>
      <c r="D51" s="11" t="inlineStr">
        <is>
          <t>KSD 17</t>
        </is>
      </c>
      <c r="E51" s="11" t="inlineStr">
        <is>
          <t>KSD 38</t>
        </is>
      </c>
      <c r="F51" s="12" t="n">
        <v>44128.95138888889</v>
      </c>
      <c r="G51" s="12" t="n">
        <v>44130.5625</v>
      </c>
      <c r="H51" s="13" t="n">
        <v>5757.167</v>
      </c>
      <c r="I51" s="11" t="inlineStr">
        <is>
          <t>PT GEOSERVICES</t>
        </is>
      </c>
      <c r="J51" s="11" t="inlineStr">
        <is>
          <t>COA-DEMO-0050</t>
        </is>
      </c>
      <c r="K51" s="15" t="n">
        <v>44130</v>
      </c>
      <c r="L51" s="16" t="n">
        <v>4065</v>
      </c>
      <c r="M51" s="16" t="n"/>
      <c r="N51" s="16" t="n">
        <v>6434</v>
      </c>
      <c r="O51" s="16" t="n">
        <v>36.82</v>
      </c>
      <c r="P51" s="16" t="n">
        <v>15.12</v>
      </c>
      <c r="Q51" s="16" t="n">
        <v>29.62</v>
      </c>
      <c r="R51" s="16" t="n">
        <v>39.8</v>
      </c>
      <c r="S51" s="16" t="n">
        <v>7.95</v>
      </c>
      <c r="T51" s="16" t="n">
        <v>28.53</v>
      </c>
      <c r="U51" s="16" t="n">
        <v>39.8</v>
      </c>
      <c r="V51" s="16" t="n">
        <v>28.53</v>
      </c>
      <c r="W51" s="16" t="n">
        <v>38.33</v>
      </c>
      <c r="X51" s="16" t="n">
        <v>0.25</v>
      </c>
      <c r="Y51" s="16" t="n"/>
      <c r="Z51" s="16" t="n">
        <v>0.4</v>
      </c>
      <c r="AA51" s="16" t="n">
        <v>0.44</v>
      </c>
      <c r="AB51" s="16" t="n">
        <v>43.43</v>
      </c>
      <c r="AC51" s="16" t="n">
        <v>58.35</v>
      </c>
      <c r="AD51" s="16" t="n">
        <v>3.21</v>
      </c>
      <c r="AE51" s="16" t="n">
        <v>4.31</v>
      </c>
      <c r="AF51" s="16" t="n">
        <v>0.68</v>
      </c>
      <c r="AG51" s="16" t="n">
        <v>0.92</v>
      </c>
      <c r="AH51" s="16" t="n">
        <v>1.18</v>
      </c>
      <c r="AI51" s="16" t="n">
        <v>10.58</v>
      </c>
      <c r="AJ51" s="16" t="n">
        <v>14.21</v>
      </c>
      <c r="AK51" s="17" t="n">
        <v>51</v>
      </c>
      <c r="AL51" s="11" t="inlineStr">
        <is>
          <t>LOW</t>
        </is>
      </c>
      <c r="AM51" s="11" t="inlineStr">
        <is>
          <t>LOW</t>
        </is>
      </c>
      <c r="AN51" s="11" t="n">
        <v>1230</v>
      </c>
      <c r="AO51" s="18" t="n">
        <v>39.61</v>
      </c>
      <c r="AP51" s="18" t="n">
        <v>24.11</v>
      </c>
      <c r="AQ51" s="18" t="n">
        <v>0.86</v>
      </c>
      <c r="AR51" s="18" t="n">
        <v>13.62</v>
      </c>
      <c r="AS51" s="18" t="n">
        <v>11.03</v>
      </c>
      <c r="AT51" s="18" t="n">
        <v>1.82</v>
      </c>
      <c r="AU51" s="18" t="n">
        <v>0.61</v>
      </c>
      <c r="AV51" s="18" t="n">
        <v>0.27</v>
      </c>
      <c r="AW51" s="18" t="n">
        <v>7.37</v>
      </c>
      <c r="AX51" s="18" t="n">
        <v>0.22</v>
      </c>
      <c r="AY51" s="18" t="inlineStr">
        <is>
          <t>-</t>
        </is>
      </c>
      <c r="AZ51" s="18" t="n">
        <v>0.54</v>
      </c>
      <c r="BA51" s="18" t="n">
        <v>97.29000000000001</v>
      </c>
      <c r="BB51" s="18" t="n">
        <v>90.04000000000001</v>
      </c>
      <c r="BC51" s="18" t="n">
        <v>77.36</v>
      </c>
      <c r="BD51" s="18" t="n">
        <v>21.37</v>
      </c>
      <c r="BE51" s="11" t="inlineStr">
        <is>
          <t>COA-DEMO-0050</t>
        </is>
      </c>
      <c r="BF51" s="19" t="n">
        <v>44138</v>
      </c>
      <c r="BG51" s="20" t="inlineStr">
        <is>
          <t>Jetty Eksisting</t>
        </is>
      </c>
    </row>
    <row r="215" ht="30" customHeight="1" s="111"/>
    <row r="228" ht="30" customHeight="1" s="111"/>
    <row r="388" ht="30" customHeight="1" s="111"/>
    <row r="516" ht="30" customHeight="1" s="11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budi hidayat</dc:creator>
  <dcterms:created xsi:type="dcterms:W3CDTF">2026-01-29T17:31:29Z</dcterms:created>
  <dcterms:modified xsi:type="dcterms:W3CDTF">2026-05-11T07:32:25Z</dcterms:modified>
  <cp:lastModifiedBy>budi hidayat</cp:lastModifiedBy>
</cp:coreProperties>
</file>